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6" windowHeight="11160" tabRatio="647" firstSheet="2" activeTab="2"/>
  </bookViews>
  <sheets>
    <sheet name="2.ÇEYREK " sheetId="3" r:id="rId1"/>
    <sheet name="2.ÇEYREK  (2)" sheetId="4" r:id="rId2"/>
    <sheet name="2.ÇEYREK. " sheetId="10" r:id="rId3"/>
  </sheet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 i="10" l="1"/>
  <c r="C19" i="10" l="1"/>
  <c r="C15" i="10"/>
  <c r="C8" i="10"/>
  <c r="C31" i="10" s="1"/>
  <c r="C7" i="10"/>
  <c r="C16" i="10" s="1"/>
  <c r="C17" i="10" s="1"/>
  <c r="C18" i="10" s="1"/>
  <c r="C19" i="4"/>
  <c r="C15" i="4"/>
  <c r="C8" i="4"/>
  <c r="C7" i="4"/>
  <c r="C21" i="4" l="1"/>
  <c r="C22" i="4" s="1"/>
  <c r="C21" i="10"/>
  <c r="C22" i="10" s="1"/>
  <c r="C23" i="10"/>
  <c r="C20" i="10"/>
  <c r="C20" i="4"/>
  <c r="C23" i="4"/>
  <c r="C16" i="4"/>
  <c r="C17" i="4" s="1"/>
  <c r="C18" i="4" s="1"/>
  <c r="C19" i="3"/>
  <c r="C15" i="3"/>
  <c r="C8" i="3"/>
  <c r="C7" i="3"/>
  <c r="C24" i="10" l="1"/>
  <c r="C25" i="10" s="1"/>
  <c r="C24" i="4"/>
  <c r="C25" i="4" s="1"/>
  <c r="C21" i="3"/>
  <c r="C22" i="3" s="1"/>
  <c r="C16" i="3"/>
  <c r="C17" i="3" s="1"/>
  <c r="C18" i="3" s="1"/>
  <c r="C20" i="3"/>
  <c r="C23" i="3"/>
  <c r="C24" i="3" l="1"/>
  <c r="C25" i="3" s="1"/>
</calcChain>
</file>

<file path=xl/sharedStrings.xml><?xml version="1.0" encoding="utf-8"?>
<sst xmlns="http://schemas.openxmlformats.org/spreadsheetml/2006/main" count="91" uniqueCount="44">
  <si>
    <t>HİSSE ADI</t>
  </si>
  <si>
    <t>HİSSE FİYATI</t>
  </si>
  <si>
    <t>ÖDENMİŞ SERMAYE</t>
  </si>
  <si>
    <t>HİSSENİN PRİM POTANSİYELİ</t>
  </si>
  <si>
    <t>ÖZSERMAYE</t>
  </si>
  <si>
    <t>POTANSİYEL PİYASA DEĞERİ</t>
  </si>
  <si>
    <t>GÜNCEL PİYASA DEĞERİ</t>
  </si>
  <si>
    <t>2019 TEMETTÜ ORANI</t>
  </si>
  <si>
    <t>2020 TEMETTÜ ORANI</t>
  </si>
  <si>
    <t>2021 TEMETTÜ ORANI</t>
  </si>
  <si>
    <t>X</t>
  </si>
  <si>
    <t>2022 TEMETTÜ ORANI</t>
  </si>
  <si>
    <t>YIL SONU TAHMİNİ NET KAR (2022)</t>
  </si>
  <si>
    <t>HİSSE F/K ORANI</t>
  </si>
  <si>
    <t>HİSSE PD/DD ORANI</t>
  </si>
  <si>
    <r>
      <rPr>
        <b/>
        <i/>
        <sz val="18"/>
        <color theme="0"/>
        <rFont val="Calibri"/>
        <family val="2"/>
        <charset val="162"/>
        <scheme val="minor"/>
      </rPr>
      <t xml:space="preserve">HİSSENİN OLMASI GEREKEN FİYATI ?
</t>
    </r>
    <r>
      <rPr>
        <b/>
        <i/>
        <sz val="10"/>
        <color theme="0"/>
        <rFont val="Calibri"/>
        <family val="2"/>
        <charset val="162"/>
        <scheme val="minor"/>
      </rPr>
      <t>Hazırlayan: Gani GÜLAYDIN</t>
    </r>
  </si>
  <si>
    <t xml:space="preserve"> 6 AYLIK NET KAR (2022)</t>
  </si>
  <si>
    <t>6 YÖNTEMİN ORTALAMASINA  GÖRE HİSSENİN OLMASI GEREKEN FİYATI</t>
  </si>
  <si>
    <t>3) PD/DD ORANINA GÖRE OLMASI GEREKEN FİYAT</t>
  </si>
  <si>
    <t>4) ÖDENMİŞ SERMAYEYE GÖRE OLMASI GEREKEN FİYAT</t>
  </si>
  <si>
    <t>6) YIL SONU TAHMİNİ ÖZSERMAYE KARLILIĞINA
 GÖRE OLMASI GEREKEN FİYAT</t>
  </si>
  <si>
    <t>1) CARİ F/K ORANINA GÖRE OLMASI GEREKEN FİYAT</t>
  </si>
  <si>
    <t>2)FUTURE'S F/K ORANINA GÖRE OLMASI GEREKEN FİYAT</t>
  </si>
  <si>
    <t>5) POTANSİYEL PİYASA DEĞERİNE  GÖRE OLMASI GEREKEN FİYAT</t>
  </si>
  <si>
    <r>
      <rPr>
        <b/>
        <u/>
        <sz val="14"/>
        <color rgb="FFFF0000"/>
        <rFont val="Calibri"/>
        <family val="2"/>
        <charset val="162"/>
        <scheme val="minor"/>
      </rPr>
      <t>ÖNEMLİ NOT:</t>
    </r>
    <r>
      <rPr>
        <sz val="12"/>
        <color theme="1"/>
        <rFont val="Calibri"/>
        <family val="2"/>
        <charset val="162"/>
        <scheme val="minor"/>
      </rPr>
      <t xml:space="preserve"> YUKARIDA BULUNAN LİNKLERDEN SEKTÖR VEYA BİST 10O ORT. DEĞERLERE ULAŞABİLİRSİNİZ.
FORMÜLLERİN BOZULMAMASI İÇİN, TABLODAKİ SARI KUTUCUKLAR HARİCİNDE BAŞKA BİR KUTUYA MANUEL OLARAK BİR ŞEY YAZMAYALIM LÜTFEN.
SARI KUTUCUKLARDAKİ ( 1 ) YAZAN BÖLÜMLERE HESAPLAYACAĞINIZ ŞİRKETE AİT BİLGİLERİ GİRDİĞİNİZDE HESAPLAMA OTOMATİK YAPILACAKTIR.
HEPİNİZE SEVGİ VE SELAMLARIMLA :)</t>
    </r>
  </si>
  <si>
    <t>SEKTÖR GÜNCEL F/K ORANI</t>
  </si>
  <si>
    <t>SEKTÖR GÜNCEL PD/DD ORANI</t>
  </si>
  <si>
    <t>SUNTK</t>
  </si>
  <si>
    <t>ORGE</t>
  </si>
  <si>
    <t>BİST100 GÜNCEL F/K ORANI</t>
  </si>
  <si>
    <t>BİST100 GÜNCEL PD/DD ORANI</t>
  </si>
  <si>
    <t>YILSONU TAHMİNİ HBK</t>
  </si>
  <si>
    <t>YILSONU TAHMİNİ FK</t>
  </si>
  <si>
    <t>BİST100 FK VE PD/DD ORANI ORT. LİNKİ</t>
  </si>
  <si>
    <t>https://www.finnet.com.tr/f2000/Endeks/endeksanaliz.aspx?ENDEKSNO=100001&amp;x=10&amp;y=9</t>
  </si>
  <si>
    <t>SEKTÖR FK VE PD/DD ORANI ORT. LİNKİ</t>
  </si>
  <si>
    <t>https://www.isyatirim.com.tr/tr-tr/analiz/hisse/Sayfalar/Temel-Degerler-Ve-Oranlar.aspx?sektor=0008#page-5</t>
  </si>
  <si>
    <r>
      <rPr>
        <b/>
        <i/>
        <sz val="18"/>
        <color theme="0"/>
        <rFont val="Calibri"/>
        <family val="2"/>
        <charset val="162"/>
        <scheme val="minor"/>
      </rPr>
      <t xml:space="preserve">HİSSENİN OLMASI GEREKEN FİYATI ?
</t>
    </r>
    <r>
      <rPr>
        <b/>
        <i/>
        <sz val="12"/>
        <color theme="0"/>
        <rFont val="Calibri"/>
        <family val="2"/>
        <charset val="162"/>
        <scheme val="minor"/>
      </rPr>
      <t>Hazırlayan: Gani GÜLAYDIN</t>
    </r>
  </si>
  <si>
    <t>HİSSENİN BEDELSİZ POTANSİYELİ (%)</t>
  </si>
  <si>
    <r>
      <rPr>
        <b/>
        <u/>
        <sz val="14"/>
        <color rgb="FFFF0000"/>
        <rFont val="Calibri"/>
        <family val="2"/>
        <charset val="162"/>
        <scheme val="minor"/>
      </rPr>
      <t>ÖNEMLİ NOT:</t>
    </r>
    <r>
      <rPr>
        <sz val="12"/>
        <color theme="1"/>
        <rFont val="Calibri"/>
        <family val="2"/>
        <charset val="162"/>
        <scheme val="minor"/>
      </rPr>
      <t xml:space="preserve"> YUKARIDA BULUNAN LİNKLERDEN SEKTÖR VEYA BİST 10O ORT. DEĞERLERE ULAŞABİLİRSİNİZ.
FORMÜLLERİN BOZULMAMASI İÇİN, TABLODAKİ SARI KUTUCUKLAR HARİCİNDE BAŞKA BİR KUTUYA MANUEL OLARAK BİR ŞEY YAZMAYALIM LÜTFEN.
FORMÜLLER BOZULURSA UDEMY'DEN TABLOLARI TEKRAR İNDİREBİLİRSİNİZ.
SARI KUTUCUKLARDAKİ ( 1 ) YAZAN BÖLÜMLERE HESAPLAYACAĞINIZ ŞİRKETE AİT BİLGİLERİ GİRDİĞİNİZDE HESAPLAMA OTOMATİK YAPILACAKTIR.
HEPİNİZE SEVGİ VE SELAMLARIMLA :)</t>
    </r>
  </si>
  <si>
    <t>BİST100 / SEKTÖR  GÜNCEL F/K ORANI</t>
  </si>
  <si>
    <t>BİST100 / SEKTÖR GÜNCEL PD/DD ORANI</t>
  </si>
  <si>
    <t>YIL SONU TAHMİNİ NET KAR (2023)</t>
  </si>
  <si>
    <t xml:space="preserve"> 6 AYLIK NET KAR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</si>
</sst>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7" x14ac:knownFonts="1">
    <font>
      <sz val="11"/>
      <color theme="1"/>
      <name val="Calibri"/>
      <family val="2"/>
      <charset val="162"/>
      <scheme val="minor"/>
    </font>
    <font>
      <sz val="12"/>
      <color theme="1"/>
      <name val="Calibri"/>
      <family val="2"/>
      <charset val="162"/>
      <scheme val="minor"/>
    </font>
    <font>
      <b/>
      <sz val="12"/>
      <color theme="1"/>
      <name val="Calibri"/>
      <family val="2"/>
      <charset val="162"/>
      <scheme val="minor"/>
    </font>
    <font>
      <b/>
      <sz val="16"/>
      <color theme="0"/>
      <name val="Calibri"/>
      <family val="2"/>
      <charset val="162"/>
      <scheme val="minor"/>
    </font>
    <font>
      <b/>
      <sz val="13"/>
      <color theme="1"/>
      <name val="Calibri"/>
      <family val="2"/>
      <charset val="162"/>
      <scheme val="minor"/>
    </font>
    <font>
      <b/>
      <sz val="20"/>
      <color theme="0"/>
      <name val="Calibri"/>
      <family val="2"/>
      <charset val="162"/>
      <scheme val="minor"/>
    </font>
    <font>
      <sz val="8"/>
      <color theme="1"/>
      <name val="Calibri"/>
      <family val="2"/>
      <charset val="162"/>
      <scheme val="minor"/>
    </font>
    <font>
      <b/>
      <sz val="16"/>
      <color theme="0" tint="-4.9989318521683403E-2"/>
      <name val="Calibri"/>
      <family val="2"/>
      <charset val="162"/>
      <scheme val="minor"/>
    </font>
    <font>
      <b/>
      <i/>
      <sz val="20"/>
      <color theme="0"/>
      <name val="Calibri"/>
      <family val="2"/>
      <charset val="162"/>
      <scheme val="minor"/>
    </font>
    <font>
      <b/>
      <i/>
      <sz val="8"/>
      <color theme="0"/>
      <name val="Calibri"/>
      <family val="2"/>
      <charset val="162"/>
      <scheme val="minor"/>
    </font>
    <font>
      <b/>
      <i/>
      <sz val="18"/>
      <color theme="0"/>
      <name val="Calibri"/>
      <family val="2"/>
      <charset val="162"/>
      <scheme val="minor"/>
    </font>
    <font>
      <b/>
      <i/>
      <sz val="10"/>
      <color theme="0"/>
      <name val="Calibri"/>
      <family val="2"/>
      <charset val="162"/>
      <scheme val="minor"/>
    </font>
    <font>
      <b/>
      <sz val="12"/>
      <color theme="1" tint="4.9989318521683403E-2"/>
      <name val="Calibri"/>
      <family val="2"/>
      <charset val="162"/>
      <scheme val="minor"/>
    </font>
    <font>
      <b/>
      <sz val="13"/>
      <color theme="1" tint="4.9989318521683403E-2"/>
      <name val="Calibri"/>
      <family val="2"/>
      <charset val="162"/>
      <scheme val="minor"/>
    </font>
    <font>
      <b/>
      <u/>
      <sz val="14"/>
      <color rgb="FFFF0000"/>
      <name val="Calibri"/>
      <family val="2"/>
      <charset val="162"/>
      <scheme val="minor"/>
    </font>
    <font>
      <u/>
      <sz val="11"/>
      <color theme="10"/>
      <name val="Calibri"/>
      <family val="2"/>
      <charset val="162"/>
      <scheme val="minor"/>
    </font>
    <font>
      <b/>
      <sz val="20"/>
      <color theme="1"/>
      <name val="Calibri"/>
      <family val="2"/>
      <charset val="162"/>
      <scheme val="minor"/>
    </font>
    <font>
      <b/>
      <sz val="24"/>
      <color rgb="FFFF0000"/>
      <name val="Calibri"/>
      <family val="2"/>
      <charset val="162"/>
      <scheme val="minor"/>
    </font>
    <font>
      <b/>
      <i/>
      <sz val="16"/>
      <color theme="1"/>
      <name val="Calibri"/>
      <family val="2"/>
      <charset val="162"/>
      <scheme val="minor"/>
    </font>
    <font>
      <b/>
      <sz val="20"/>
      <color theme="3"/>
      <name val="Calibri"/>
      <family val="2"/>
      <charset val="162"/>
      <scheme val="minor"/>
    </font>
    <font>
      <b/>
      <sz val="11"/>
      <color theme="1" tint="4.9989318521683403E-2"/>
      <name val="Calibri"/>
      <family val="2"/>
      <charset val="162"/>
      <scheme val="minor"/>
    </font>
    <font>
      <b/>
      <i/>
      <sz val="12"/>
      <color theme="0"/>
      <name val="Calibri"/>
      <family val="2"/>
      <charset val="162"/>
      <scheme val="minor"/>
    </font>
    <font>
      <b/>
      <sz val="22"/>
      <color theme="0"/>
      <name val="Calibri"/>
      <family val="2"/>
      <charset val="162"/>
      <scheme val="minor"/>
    </font>
    <font>
      <b/>
      <sz val="18"/>
      <color theme="0" tint="-4.9989318521683403E-2"/>
      <name val="Calibri"/>
      <family val="2"/>
      <charset val="162"/>
      <scheme val="minor"/>
    </font>
    <font>
      <b/>
      <sz val="18"/>
      <color theme="0"/>
      <name val="Calibri"/>
      <family val="2"/>
      <charset val="162"/>
      <scheme val="minor"/>
    </font>
    <font>
      <b/>
      <sz val="17"/>
      <color theme="1"/>
      <name val="Calibri"/>
      <family val="2"/>
      <charset val="162"/>
      <scheme val="minor"/>
    </font>
    <font>
      <b/>
      <sz val="14"/>
      <color theme="1" tint="4.9989318521683403E-2"/>
      <name val="Calibri"/>
      <family val="2"/>
      <charset val="16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1" tint="4.9989318521683403E-2"/>
        <bgColor indexed="64"/>
      </patternFill>
    </fill>
  </fills>
  <borders count="17">
    <border>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15" fillId="0" borderId="0" applyNumberFormat="0" applyFill="0" applyBorder="0" applyAlignment="0" applyProtection="0"/>
  </cellStyleXfs>
  <cellXfs count="61">
    <xf numFmtId="0" fontId="0" fillId="0" borderId="0" xfId="0"/>
    <xf numFmtId="0" fontId="0" fillId="0" borderId="0" xfId="0" applyBorder="1"/>
    <xf numFmtId="3" fontId="1" fillId="4" borderId="0" xfId="0" applyNumberFormat="1" applyFont="1" applyFill="1" applyBorder="1" applyAlignment="1">
      <alignment horizontal="center" vertical="center"/>
    </xf>
    <xf numFmtId="10" fontId="1" fillId="5" borderId="7" xfId="0" applyNumberFormat="1" applyFont="1" applyFill="1" applyBorder="1" applyAlignment="1">
      <alignment horizontal="center" vertical="center"/>
    </xf>
    <xf numFmtId="0" fontId="2" fillId="5" borderId="7" xfId="0" applyFont="1" applyFill="1" applyBorder="1"/>
    <xf numFmtId="4" fontId="2" fillId="2" borderId="3" xfId="0" applyNumberFormat="1" applyFont="1" applyFill="1" applyBorder="1" applyAlignment="1">
      <alignment horizontal="center" vertical="center"/>
    </xf>
    <xf numFmtId="3"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6" borderId="2" xfId="0" applyFont="1" applyFill="1" applyBorder="1" applyAlignment="1">
      <alignment horizontal="center" vertical="center"/>
    </xf>
    <xf numFmtId="3" fontId="2" fillId="6" borderId="3" xfId="0" applyNumberFormat="1" applyFont="1" applyFill="1" applyBorder="1" applyAlignment="1">
      <alignment horizontal="center" vertical="center"/>
    </xf>
    <xf numFmtId="0" fontId="8" fillId="7" borderId="6" xfId="0" applyFont="1" applyFill="1" applyBorder="1" applyAlignment="1">
      <alignment horizontal="center" vertical="center"/>
    </xf>
    <xf numFmtId="0" fontId="8" fillId="7" borderId="1" xfId="0" applyFont="1" applyFill="1" applyBorder="1" applyAlignment="1">
      <alignment horizontal="center" vertical="center" wrapText="1"/>
    </xf>
    <xf numFmtId="0" fontId="2" fillId="5" borderId="13" xfId="0" applyFont="1" applyFill="1" applyBorder="1"/>
    <xf numFmtId="10" fontId="1" fillId="5" borderId="13" xfId="0" applyNumberFormat="1" applyFont="1" applyFill="1" applyBorder="1" applyAlignment="1">
      <alignment horizontal="center" vertical="center"/>
    </xf>
    <xf numFmtId="0" fontId="12" fillId="6" borderId="2" xfId="0" applyFont="1" applyFill="1" applyBorder="1" applyAlignment="1">
      <alignment horizontal="left" vertical="center"/>
    </xf>
    <xf numFmtId="4" fontId="13" fillId="6" borderId="3" xfId="0" applyNumberFormat="1" applyFont="1" applyFill="1" applyBorder="1" applyAlignment="1">
      <alignment horizontal="center" vertical="center"/>
    </xf>
    <xf numFmtId="3" fontId="13" fillId="6" borderId="3" xfId="0" applyNumberFormat="1" applyFont="1" applyFill="1" applyBorder="1" applyAlignment="1">
      <alignment horizontal="center" vertical="center"/>
    </xf>
    <xf numFmtId="4" fontId="13" fillId="6" borderId="14" xfId="0" applyNumberFormat="1" applyFont="1" applyFill="1" applyBorder="1" applyAlignment="1">
      <alignment horizontal="center" vertical="center"/>
    </xf>
    <xf numFmtId="10" fontId="5" fillId="3" borderId="15" xfId="0" applyNumberFormat="1" applyFont="1" applyFill="1" applyBorder="1" applyAlignment="1">
      <alignment horizontal="center" vertical="center"/>
    </xf>
    <xf numFmtId="164" fontId="5" fillId="3" borderId="12" xfId="0" applyNumberFormat="1" applyFont="1" applyFill="1" applyBorder="1" applyAlignment="1">
      <alignment horizontal="center" vertical="center"/>
    </xf>
    <xf numFmtId="0" fontId="12" fillId="6" borderId="16" xfId="0" applyFont="1" applyFill="1" applyBorder="1" applyAlignment="1">
      <alignment horizontal="left" vertical="center" wrapText="1"/>
    </xf>
    <xf numFmtId="0" fontId="3" fillId="3" borderId="15"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12" fillId="6" borderId="10" xfId="0" applyFont="1" applyFill="1" applyBorder="1" applyAlignment="1">
      <alignment horizontal="left" vertical="center"/>
    </xf>
    <xf numFmtId="4" fontId="13" fillId="6" borderId="11" xfId="0" applyNumberFormat="1" applyFont="1" applyFill="1" applyBorder="1" applyAlignment="1">
      <alignment horizontal="center" vertical="center"/>
    </xf>
    <xf numFmtId="164" fontId="0" fillId="0" borderId="0" xfId="0" applyNumberFormat="1" applyBorder="1"/>
    <xf numFmtId="0" fontId="0" fillId="0" borderId="0" xfId="0" applyBorder="1" applyAlignment="1"/>
    <xf numFmtId="0" fontId="2" fillId="0" borderId="0" xfId="0" applyFont="1" applyBorder="1" applyAlignment="1"/>
    <xf numFmtId="164" fontId="15" fillId="0" borderId="0" xfId="1" applyNumberFormat="1" applyBorder="1" applyAlignment="1"/>
    <xf numFmtId="164" fontId="0" fillId="0" borderId="0" xfId="0" applyNumberFormat="1" applyBorder="1" applyAlignment="1"/>
    <xf numFmtId="0" fontId="0" fillId="0" borderId="0" xfId="0" applyAlignment="1"/>
    <xf numFmtId="0" fontId="16" fillId="0" borderId="0" xfId="0" applyFont="1" applyBorder="1" applyAlignment="1">
      <alignment horizontal="center" vertical="center"/>
    </xf>
    <xf numFmtId="3" fontId="16" fillId="0" borderId="0" xfId="0" applyNumberFormat="1" applyFont="1" applyBorder="1" applyAlignment="1">
      <alignment horizontal="center" vertical="center"/>
    </xf>
    <xf numFmtId="0" fontId="0" fillId="0" borderId="0" xfId="0" applyAlignment="1">
      <alignment vertical="center"/>
    </xf>
    <xf numFmtId="0" fontId="0" fillId="0" borderId="0" xfId="0" applyBorder="1" applyAlignment="1">
      <alignment vertical="center"/>
    </xf>
    <xf numFmtId="0" fontId="17" fillId="0" borderId="0" xfId="0" applyFont="1" applyBorder="1" applyAlignment="1"/>
    <xf numFmtId="0" fontId="18" fillId="0" borderId="0" xfId="0" applyFont="1" applyBorder="1" applyAlignment="1">
      <alignment horizontal="center" vertical="center"/>
    </xf>
    <xf numFmtId="0" fontId="19" fillId="0" borderId="0" xfId="0" applyFont="1" applyBorder="1" applyAlignment="1">
      <alignment horizontal="center"/>
    </xf>
    <xf numFmtId="0" fontId="20" fillId="6" borderId="2" xfId="0" applyFont="1" applyFill="1" applyBorder="1" applyAlignment="1">
      <alignment horizontal="left" vertical="center"/>
    </xf>
    <xf numFmtId="0" fontId="17" fillId="0" borderId="0" xfId="0" applyFont="1" applyBorder="1" applyAlignment="1">
      <alignment vertical="center"/>
    </xf>
    <xf numFmtId="0" fontId="15" fillId="0" borderId="7" xfId="1" applyBorder="1" applyAlignment="1">
      <alignment vertical="center"/>
    </xf>
    <xf numFmtId="0" fontId="2" fillId="0" borderId="7" xfId="0" applyFont="1" applyBorder="1"/>
    <xf numFmtId="164" fontId="22" fillId="3" borderId="12" xfId="0" applyNumberFormat="1" applyFont="1" applyFill="1" applyBorder="1" applyAlignment="1">
      <alignment horizontal="center" vertical="center"/>
    </xf>
    <xf numFmtId="10" fontId="22" fillId="3" borderId="15" xfId="0" applyNumberFormat="1" applyFont="1" applyFill="1" applyBorder="1" applyAlignment="1">
      <alignment horizontal="center" vertical="center"/>
    </xf>
    <xf numFmtId="0" fontId="23" fillId="3" borderId="12" xfId="0" applyFont="1" applyFill="1" applyBorder="1" applyAlignment="1">
      <alignment horizontal="center" vertical="center" wrapText="1"/>
    </xf>
    <xf numFmtId="0" fontId="24" fillId="3" borderId="15" xfId="0" applyFont="1" applyFill="1" applyBorder="1" applyAlignment="1">
      <alignment horizontal="center" vertical="center" wrapText="1"/>
    </xf>
    <xf numFmtId="0" fontId="25" fillId="3" borderId="8" xfId="0" applyFont="1" applyFill="1" applyBorder="1" applyAlignment="1">
      <alignment horizontal="center" vertical="center"/>
    </xf>
    <xf numFmtId="3" fontId="25" fillId="3" borderId="12" xfId="0" applyNumberFormat="1" applyFont="1" applyFill="1" applyBorder="1" applyAlignment="1">
      <alignment horizontal="center" vertical="center"/>
    </xf>
    <xf numFmtId="4" fontId="26" fillId="6" borderId="11" xfId="0" applyNumberFormat="1" applyFont="1" applyFill="1" applyBorder="1" applyAlignment="1">
      <alignment horizontal="center" vertical="center"/>
    </xf>
    <xf numFmtId="4" fontId="26" fillId="6" borderId="3" xfId="0" applyNumberFormat="1" applyFont="1" applyFill="1" applyBorder="1" applyAlignment="1">
      <alignment horizontal="center" vertical="center"/>
    </xf>
    <xf numFmtId="3" fontId="26" fillId="6" borderId="3" xfId="0" applyNumberFormat="1" applyFont="1" applyFill="1" applyBorder="1" applyAlignment="1">
      <alignment horizontal="center" vertical="center"/>
    </xf>
    <xf numFmtId="4" fontId="26" fillId="6" borderId="14" xfId="0" applyNumberFormat="1" applyFont="1" applyFill="1" applyBorder="1" applyAlignment="1">
      <alignment horizontal="center" vertical="center"/>
    </xf>
    <xf numFmtId="0" fontId="17" fillId="0" borderId="0" xfId="0" applyFont="1" applyBorder="1" applyAlignment="1">
      <alignment horizontal="center"/>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xf>
    <xf numFmtId="0" fontId="6" fillId="0" borderId="0" xfId="0" applyFont="1" applyAlignment="1">
      <alignment horizontal="left"/>
    </xf>
    <xf numFmtId="0" fontId="1" fillId="0" borderId="0" xfId="0" applyFont="1" applyAlignment="1">
      <alignment horizontal="left" vertical="center" wrapText="1"/>
    </xf>
    <xf numFmtId="0" fontId="1" fillId="0" borderId="0" xfId="0" applyFont="1" applyAlignment="1">
      <alignment horizontal="left" vertical="center"/>
    </xf>
  </cellXfs>
  <cellStyles count="2">
    <cellStyle name="Köprü"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isyatirim.com.tr/tr-tr/analiz/hisse/Sayfalar/Temel-Degerler-Ve-Oranlar.aspx?sektor=0008" TargetMode="External"/><Relationship Id="rId1" Type="http://schemas.openxmlformats.org/officeDocument/2006/relationships/hyperlink" Target="https://www.finnet.com.tr/f2000/Endeks/endeksanaliz.aspx?ENDEKSNO=100001&amp;x=10&amp;y=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3"/>
  <sheetViews>
    <sheetView zoomScale="80" zoomScaleNormal="80" workbookViewId="0">
      <selection activeCell="C25" sqref="C25"/>
    </sheetView>
  </sheetViews>
  <sheetFormatPr defaultRowHeight="14.4" x14ac:dyDescent="0.3"/>
  <cols>
    <col min="2" max="2" width="62.6640625" customWidth="1"/>
    <col min="3" max="3" width="23.5546875" customWidth="1"/>
    <col min="4" max="4" width="8.6640625" customWidth="1"/>
    <col min="5" max="5" width="20" hidden="1" customWidth="1"/>
    <col min="6" max="6" width="30" customWidth="1"/>
    <col min="7" max="7" width="22.44140625" customWidth="1"/>
    <col min="8" max="8" width="21.88671875" customWidth="1"/>
  </cols>
  <sheetData>
    <row r="1" spans="2:17" ht="15.75" thickBot="1" x14ac:dyDescent="0.3"/>
    <row r="2" spans="2:17" ht="36.75" customHeight="1" x14ac:dyDescent="0.3">
      <c r="B2" s="13" t="s">
        <v>0</v>
      </c>
      <c r="C2" s="14" t="s">
        <v>27</v>
      </c>
    </row>
    <row r="3" spans="2:17" ht="20.100000000000001" customHeight="1" x14ac:dyDescent="0.3">
      <c r="B3" s="9" t="s">
        <v>1</v>
      </c>
      <c r="C3" s="5">
        <v>29</v>
      </c>
    </row>
    <row r="4" spans="2:17" ht="20.100000000000001" customHeight="1" x14ac:dyDescent="0.3">
      <c r="B4" s="9" t="s">
        <v>2</v>
      </c>
      <c r="C4" s="6">
        <v>135600000</v>
      </c>
    </row>
    <row r="5" spans="2:17" ht="20.100000000000001" customHeight="1" x14ac:dyDescent="0.25">
      <c r="B5" s="9" t="s">
        <v>16</v>
      </c>
      <c r="C5" s="6">
        <v>286784485</v>
      </c>
    </row>
    <row r="6" spans="2:17" ht="20.100000000000001" hidden="1" customHeight="1" x14ac:dyDescent="0.25">
      <c r="B6" s="9" t="s">
        <v>10</v>
      </c>
      <c r="C6" s="6">
        <v>4</v>
      </c>
    </row>
    <row r="7" spans="2:17" ht="20.100000000000001" customHeight="1" x14ac:dyDescent="0.3">
      <c r="B7" s="11" t="s">
        <v>12</v>
      </c>
      <c r="C7" s="12">
        <f>C5*2</f>
        <v>573568970</v>
      </c>
    </row>
    <row r="8" spans="2:17" ht="20.100000000000001" customHeight="1" x14ac:dyDescent="0.3">
      <c r="B8" s="11" t="s">
        <v>4</v>
      </c>
      <c r="C8" s="12">
        <f>C9/C11</f>
        <v>1319597315.4362416</v>
      </c>
      <c r="E8" s="1"/>
    </row>
    <row r="9" spans="2:17" ht="20.100000000000001" customHeight="1" x14ac:dyDescent="0.3">
      <c r="B9" s="9" t="s">
        <v>6</v>
      </c>
      <c r="C9" s="6">
        <v>3932400000</v>
      </c>
      <c r="E9" s="2"/>
      <c r="G9" s="1"/>
      <c r="H9" s="1"/>
      <c r="I9" s="1"/>
      <c r="J9" s="1"/>
      <c r="K9" s="1"/>
      <c r="L9" s="1"/>
      <c r="M9" s="1"/>
      <c r="N9" s="1"/>
      <c r="O9" s="1"/>
      <c r="P9" s="1"/>
      <c r="Q9" s="1"/>
    </row>
    <row r="10" spans="2:17" ht="20.100000000000001" customHeight="1" x14ac:dyDescent="0.3">
      <c r="B10" s="9" t="s">
        <v>13</v>
      </c>
      <c r="C10" s="7">
        <v>9.27</v>
      </c>
      <c r="E10" s="1"/>
      <c r="G10" s="1"/>
      <c r="H10" s="28"/>
      <c r="I10" s="1"/>
      <c r="J10" s="1"/>
      <c r="K10" s="1"/>
      <c r="L10" s="1"/>
      <c r="M10" s="1"/>
      <c r="N10" s="1"/>
      <c r="O10" s="1"/>
      <c r="P10" s="1"/>
      <c r="Q10" s="1"/>
    </row>
    <row r="11" spans="2:17" ht="20.100000000000001" customHeight="1" x14ac:dyDescent="0.3">
      <c r="B11" s="9" t="s">
        <v>14</v>
      </c>
      <c r="C11" s="7">
        <v>2.98</v>
      </c>
      <c r="E11" s="1"/>
      <c r="G11" s="30"/>
      <c r="H11" s="30"/>
      <c r="I11" s="30"/>
      <c r="J11" s="30"/>
      <c r="K11" s="30"/>
      <c r="L11" s="30"/>
      <c r="M11" s="30"/>
      <c r="N11" s="30"/>
      <c r="O11" s="30"/>
      <c r="P11" s="30"/>
      <c r="Q11" s="30"/>
    </row>
    <row r="12" spans="2:17" ht="20.100000000000001" customHeight="1" x14ac:dyDescent="0.3">
      <c r="B12" s="9" t="s">
        <v>25</v>
      </c>
      <c r="C12" s="7">
        <v>11.57</v>
      </c>
      <c r="G12" s="31"/>
      <c r="H12" s="32"/>
      <c r="I12" s="32"/>
      <c r="J12" s="32"/>
      <c r="K12" s="32"/>
      <c r="L12" s="32"/>
      <c r="M12" s="32"/>
      <c r="N12" s="32"/>
      <c r="O12" s="32"/>
      <c r="P12" s="32"/>
      <c r="Q12" s="32"/>
    </row>
    <row r="13" spans="2:17" ht="37.5" customHeight="1" thickBot="1" x14ac:dyDescent="0.65">
      <c r="B13" s="10" t="s">
        <v>26</v>
      </c>
      <c r="C13" s="8">
        <v>4.32</v>
      </c>
      <c r="G13" s="55"/>
      <c r="H13" s="55"/>
      <c r="I13" s="29"/>
      <c r="J13" s="29"/>
      <c r="K13" s="29"/>
      <c r="L13" s="29"/>
      <c r="M13" s="29"/>
      <c r="N13" s="29"/>
      <c r="O13" s="29"/>
      <c r="P13" s="29"/>
      <c r="Q13" s="29"/>
    </row>
    <row r="14" spans="2:17" ht="38.25" customHeight="1" thickBot="1" x14ac:dyDescent="0.35">
      <c r="B14" s="56" t="s">
        <v>15</v>
      </c>
      <c r="C14" s="57"/>
      <c r="G14" s="34"/>
      <c r="H14" s="35"/>
      <c r="I14" s="30"/>
      <c r="J14" s="30"/>
      <c r="K14" s="30"/>
      <c r="L14" s="30"/>
      <c r="M14" s="30"/>
      <c r="N14" s="30"/>
      <c r="O14" s="30"/>
      <c r="P14" s="30"/>
      <c r="Q14" s="30"/>
    </row>
    <row r="15" spans="2:17" ht="21.9" customHeight="1" x14ac:dyDescent="0.3">
      <c r="B15" s="26" t="s">
        <v>21</v>
      </c>
      <c r="C15" s="27">
        <f>C3/C10*C12</f>
        <v>36.195253505933117</v>
      </c>
      <c r="G15" s="34"/>
      <c r="H15" s="35"/>
      <c r="I15" s="29"/>
      <c r="J15" s="29"/>
      <c r="K15" s="29"/>
      <c r="L15" s="29"/>
      <c r="M15" s="29"/>
      <c r="N15" s="29"/>
      <c r="O15" s="29"/>
      <c r="P15" s="29"/>
      <c r="Q15" s="29"/>
    </row>
    <row r="16" spans="2:17" ht="21.9" hidden="1" customHeight="1" thickBot="1" x14ac:dyDescent="0.3">
      <c r="B16" s="17"/>
      <c r="C16" s="18">
        <f>C7/C4</f>
        <v>4.2298596607669614</v>
      </c>
      <c r="G16" s="34"/>
      <c r="H16" s="34"/>
      <c r="I16" s="1"/>
      <c r="J16" s="1"/>
      <c r="K16" s="1"/>
      <c r="L16" s="1"/>
      <c r="M16" s="1"/>
      <c r="N16" s="1"/>
      <c r="O16" s="1"/>
      <c r="P16" s="1"/>
      <c r="Q16" s="1"/>
    </row>
    <row r="17" spans="2:17" ht="21.9" hidden="1" customHeight="1" thickBot="1" x14ac:dyDescent="0.3">
      <c r="B17" s="17"/>
      <c r="C17" s="18">
        <f>C3/C16</f>
        <v>6.8560194251791557</v>
      </c>
      <c r="G17" s="34"/>
      <c r="H17" s="34"/>
      <c r="I17" s="1"/>
      <c r="J17" s="1"/>
      <c r="K17" s="1"/>
      <c r="L17" s="1"/>
      <c r="M17" s="1"/>
      <c r="N17" s="1"/>
      <c r="O17" s="1"/>
      <c r="P17" s="1"/>
      <c r="Q17" s="1"/>
    </row>
    <row r="18" spans="2:17" ht="21.9" customHeight="1" x14ac:dyDescent="0.3">
      <c r="B18" s="17" t="s">
        <v>22</v>
      </c>
      <c r="C18" s="18">
        <f>(C3/C17)*C12</f>
        <v>48.939476275073744</v>
      </c>
      <c r="G18" s="34"/>
      <c r="H18" s="35"/>
      <c r="I18" s="29"/>
      <c r="J18" s="29"/>
      <c r="K18" s="29"/>
      <c r="L18" s="29"/>
      <c r="M18" s="29"/>
      <c r="N18" s="29"/>
      <c r="O18" s="29"/>
      <c r="P18" s="29"/>
      <c r="Q18" s="29"/>
    </row>
    <row r="19" spans="2:17" ht="21.9" customHeight="1" x14ac:dyDescent="0.3">
      <c r="B19" s="17" t="s">
        <v>18</v>
      </c>
      <c r="C19" s="18">
        <f>C3/C11*C13</f>
        <v>42.040268456375841</v>
      </c>
      <c r="G19" s="34"/>
      <c r="H19" s="35"/>
      <c r="I19" s="1"/>
      <c r="J19" s="1"/>
      <c r="K19" s="1"/>
      <c r="L19" s="1"/>
      <c r="M19" s="1"/>
      <c r="N19" s="1"/>
      <c r="O19" s="1"/>
      <c r="P19" s="1"/>
      <c r="Q19" s="1"/>
    </row>
    <row r="20" spans="2:17" ht="21.9" customHeight="1" x14ac:dyDescent="0.3">
      <c r="B20" s="17" t="s">
        <v>19</v>
      </c>
      <c r="C20" s="18">
        <f>(C7/C4)*10.02</f>
        <v>42.383193800884953</v>
      </c>
      <c r="G20" s="30"/>
      <c r="H20" s="29"/>
      <c r="I20" s="33"/>
      <c r="J20" s="33"/>
      <c r="K20" s="33"/>
      <c r="L20" s="33"/>
      <c r="M20" s="33"/>
      <c r="N20" s="33"/>
      <c r="O20" s="33"/>
      <c r="P20" s="33"/>
      <c r="Q20" s="33"/>
    </row>
    <row r="21" spans="2:17" ht="21.9" hidden="1" customHeight="1" x14ac:dyDescent="0.25">
      <c r="B21" s="17" t="s">
        <v>5</v>
      </c>
      <c r="C21" s="19">
        <f>(C7*7)+(C8*0.5)</f>
        <v>4674781447.7181206</v>
      </c>
    </row>
    <row r="22" spans="2:17" ht="21.9" customHeight="1" x14ac:dyDescent="0.3">
      <c r="B22" s="17" t="s">
        <v>23</v>
      </c>
      <c r="C22" s="18">
        <f>C21/C4</f>
        <v>34.474789437449267</v>
      </c>
    </row>
    <row r="23" spans="2:17" ht="31.5" customHeight="1" thickBot="1" x14ac:dyDescent="0.35">
      <c r="B23" s="23" t="s">
        <v>20</v>
      </c>
      <c r="C23" s="20">
        <f>(C7/C8)*10/C11 *C3</f>
        <v>42.298596607669616</v>
      </c>
      <c r="G23" s="33"/>
      <c r="H23" s="33"/>
      <c r="I23" s="33"/>
      <c r="J23" s="33"/>
      <c r="K23" s="33"/>
      <c r="L23" s="33"/>
      <c r="M23" s="33"/>
      <c r="N23" s="33"/>
      <c r="O23" s="33"/>
      <c r="P23" s="33"/>
      <c r="Q23" s="33"/>
    </row>
    <row r="24" spans="2:17" ht="47.25" customHeight="1" thickBot="1" x14ac:dyDescent="0.35">
      <c r="B24" s="25" t="s">
        <v>17</v>
      </c>
      <c r="C24" s="22">
        <f>(C15+C18+C19+C20+C22+C23)/6</f>
        <v>41.055263013897751</v>
      </c>
    </row>
    <row r="25" spans="2:17" ht="34.5" customHeight="1" thickBot="1" x14ac:dyDescent="0.35">
      <c r="B25" s="24" t="s">
        <v>3</v>
      </c>
      <c r="C25" s="21">
        <f>(C24-C3)/C3</f>
        <v>0.41569872461716384</v>
      </c>
    </row>
    <row r="26" spans="2:17" ht="15.75" hidden="1" x14ac:dyDescent="0.25">
      <c r="B26" s="15" t="s">
        <v>7</v>
      </c>
      <c r="C26" s="16">
        <v>8.77E-2</v>
      </c>
    </row>
    <row r="27" spans="2:17" ht="15.75" hidden="1" x14ac:dyDescent="0.25">
      <c r="B27" s="4" t="s">
        <v>8</v>
      </c>
      <c r="C27" s="3">
        <v>8.9200000000000002E-2</v>
      </c>
    </row>
    <row r="28" spans="2:17" ht="15.75" hidden="1" x14ac:dyDescent="0.25">
      <c r="B28" s="4" t="s">
        <v>9</v>
      </c>
      <c r="C28" s="3">
        <v>5.1200000000000002E-2</v>
      </c>
    </row>
    <row r="29" spans="2:17" ht="15.75" hidden="1" x14ac:dyDescent="0.25">
      <c r="B29" s="4" t="s">
        <v>11</v>
      </c>
      <c r="C29" s="3">
        <v>5.4800000000000001E-2</v>
      </c>
    </row>
    <row r="30" spans="2:17" ht="15" hidden="1" x14ac:dyDescent="0.25"/>
    <row r="31" spans="2:17" ht="15" x14ac:dyDescent="0.25">
      <c r="B31" s="58"/>
      <c r="C31" s="58"/>
    </row>
    <row r="33" spans="2:7" ht="105" customHeight="1" x14ac:dyDescent="0.3">
      <c r="B33" s="59" t="s">
        <v>24</v>
      </c>
      <c r="C33" s="60"/>
      <c r="D33" s="60"/>
      <c r="E33" s="60"/>
      <c r="F33" s="60"/>
      <c r="G33" s="60"/>
    </row>
  </sheetData>
  <mergeCells count="4">
    <mergeCell ref="G13:H13"/>
    <mergeCell ref="B14:C14"/>
    <mergeCell ref="B31:C31"/>
    <mergeCell ref="B33:G33"/>
  </mergeCells>
  <pageMargins left="0.39370078740157483" right="0.39370078740157483" top="0.74803149606299213" bottom="0.74803149606299213" header="0.31496062992125984" footer="0.31496062992125984"/>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3"/>
  <sheetViews>
    <sheetView zoomScale="80" zoomScaleNormal="80" workbookViewId="0">
      <selection activeCell="C24" sqref="C24"/>
    </sheetView>
  </sheetViews>
  <sheetFormatPr defaultRowHeight="14.4" x14ac:dyDescent="0.3"/>
  <cols>
    <col min="2" max="2" width="62.6640625" customWidth="1"/>
    <col min="3" max="3" width="23.5546875" customWidth="1"/>
    <col min="4" max="4" width="8.6640625" customWidth="1"/>
    <col min="5" max="5" width="20" hidden="1" customWidth="1"/>
    <col min="6" max="6" width="30" customWidth="1"/>
    <col min="7" max="7" width="22.44140625" customWidth="1"/>
    <col min="8" max="8" width="21.88671875" customWidth="1"/>
  </cols>
  <sheetData>
    <row r="1" spans="2:17" ht="15.75" thickBot="1" x14ac:dyDescent="0.3"/>
    <row r="2" spans="2:17" ht="36.75" customHeight="1" x14ac:dyDescent="0.3">
      <c r="B2" s="13" t="s">
        <v>0</v>
      </c>
      <c r="C2" s="14" t="s">
        <v>28</v>
      </c>
    </row>
    <row r="3" spans="2:17" ht="20.100000000000001" customHeight="1" x14ac:dyDescent="0.3">
      <c r="B3" s="9" t="s">
        <v>1</v>
      </c>
      <c r="C3" s="5">
        <v>13.56</v>
      </c>
    </row>
    <row r="4" spans="2:17" ht="20.100000000000001" customHeight="1" x14ac:dyDescent="0.3">
      <c r="B4" s="9" t="s">
        <v>2</v>
      </c>
      <c r="C4" s="6">
        <v>80000000</v>
      </c>
    </row>
    <row r="5" spans="2:17" ht="20.100000000000001" customHeight="1" x14ac:dyDescent="0.25">
      <c r="B5" s="9" t="s">
        <v>16</v>
      </c>
      <c r="C5" s="6">
        <v>114361799</v>
      </c>
    </row>
    <row r="6" spans="2:17" ht="20.100000000000001" hidden="1" customHeight="1" x14ac:dyDescent="0.25">
      <c r="B6" s="9" t="s">
        <v>10</v>
      </c>
      <c r="C6" s="6">
        <v>4</v>
      </c>
    </row>
    <row r="7" spans="2:17" ht="20.100000000000001" customHeight="1" x14ac:dyDescent="0.3">
      <c r="B7" s="11" t="s">
        <v>12</v>
      </c>
      <c r="C7" s="12">
        <f>C5*2</f>
        <v>228723598</v>
      </c>
    </row>
    <row r="8" spans="2:17" ht="20.100000000000001" customHeight="1" x14ac:dyDescent="0.3">
      <c r="B8" s="11" t="s">
        <v>4</v>
      </c>
      <c r="C8" s="12">
        <f>C9/C11</f>
        <v>450124481.32780081</v>
      </c>
      <c r="E8" s="1"/>
    </row>
    <row r="9" spans="2:17" ht="20.100000000000001" customHeight="1" x14ac:dyDescent="0.3">
      <c r="B9" s="9" t="s">
        <v>6</v>
      </c>
      <c r="C9" s="6">
        <v>1084800000</v>
      </c>
      <c r="E9" s="2"/>
      <c r="G9" s="1"/>
      <c r="H9" s="1"/>
      <c r="I9" s="1"/>
      <c r="J9" s="1"/>
      <c r="K9" s="1"/>
      <c r="L9" s="1"/>
      <c r="M9" s="1"/>
      <c r="N9" s="1"/>
      <c r="O9" s="1"/>
      <c r="P9" s="1"/>
      <c r="Q9" s="1"/>
    </row>
    <row r="10" spans="2:17" ht="20.100000000000001" customHeight="1" x14ac:dyDescent="0.3">
      <c r="B10" s="9" t="s">
        <v>13</v>
      </c>
      <c r="C10" s="7">
        <v>5.65</v>
      </c>
      <c r="E10" s="1"/>
      <c r="G10" s="1"/>
      <c r="H10" s="28"/>
      <c r="I10" s="1"/>
      <c r="J10" s="1"/>
      <c r="K10" s="1"/>
      <c r="L10" s="1"/>
      <c r="M10" s="1"/>
      <c r="N10" s="1"/>
      <c r="O10" s="1"/>
      <c r="P10" s="1"/>
      <c r="Q10" s="1"/>
    </row>
    <row r="11" spans="2:17" ht="20.100000000000001" customHeight="1" x14ac:dyDescent="0.3">
      <c r="B11" s="9" t="s">
        <v>14</v>
      </c>
      <c r="C11" s="7">
        <v>2.41</v>
      </c>
      <c r="E11" s="1"/>
      <c r="G11" s="30"/>
      <c r="H11" s="30"/>
      <c r="I11" s="30"/>
      <c r="J11" s="30"/>
      <c r="K11" s="30"/>
      <c r="L11" s="30"/>
      <c r="M11" s="30"/>
      <c r="N11" s="30"/>
      <c r="O11" s="30"/>
      <c r="P11" s="30"/>
      <c r="Q11" s="30"/>
    </row>
    <row r="12" spans="2:17" ht="20.100000000000001" customHeight="1" x14ac:dyDescent="0.3">
      <c r="B12" s="9" t="s">
        <v>29</v>
      </c>
      <c r="C12" s="7">
        <v>6.55</v>
      </c>
      <c r="G12" s="31"/>
      <c r="H12" s="32"/>
      <c r="I12" s="32"/>
      <c r="J12" s="32"/>
      <c r="K12" s="32"/>
      <c r="L12" s="32"/>
      <c r="M12" s="32"/>
      <c r="N12" s="32"/>
      <c r="O12" s="32"/>
      <c r="P12" s="32"/>
      <c r="Q12" s="32"/>
    </row>
    <row r="13" spans="2:17" ht="37.5" customHeight="1" thickBot="1" x14ac:dyDescent="0.65">
      <c r="B13" s="10" t="s">
        <v>30</v>
      </c>
      <c r="C13" s="8">
        <v>1.57</v>
      </c>
      <c r="G13" s="55"/>
      <c r="H13" s="55"/>
      <c r="I13" s="29"/>
      <c r="J13" s="29"/>
      <c r="K13" s="29"/>
      <c r="L13" s="29"/>
      <c r="M13" s="29"/>
      <c r="N13" s="29"/>
      <c r="O13" s="29"/>
      <c r="P13" s="29"/>
      <c r="Q13" s="29"/>
    </row>
    <row r="14" spans="2:17" ht="38.25" customHeight="1" thickBot="1" x14ac:dyDescent="0.35">
      <c r="B14" s="56" t="s">
        <v>15</v>
      </c>
      <c r="C14" s="57"/>
      <c r="G14" s="34"/>
      <c r="H14" s="35"/>
      <c r="I14" s="30"/>
      <c r="J14" s="30"/>
      <c r="K14" s="30"/>
      <c r="L14" s="30"/>
      <c r="M14" s="30"/>
      <c r="N14" s="30"/>
      <c r="O14" s="30"/>
      <c r="P14" s="30"/>
      <c r="Q14" s="30"/>
    </row>
    <row r="15" spans="2:17" ht="21.9" customHeight="1" x14ac:dyDescent="0.3">
      <c r="B15" s="26" t="s">
        <v>21</v>
      </c>
      <c r="C15" s="27">
        <f>C3/C10*C12</f>
        <v>15.719999999999999</v>
      </c>
      <c r="G15" s="34"/>
      <c r="H15" s="35"/>
      <c r="I15" s="29"/>
      <c r="J15" s="29"/>
      <c r="K15" s="29"/>
      <c r="L15" s="29"/>
      <c r="M15" s="29"/>
      <c r="N15" s="29"/>
      <c r="O15" s="29"/>
      <c r="P15" s="29"/>
      <c r="Q15" s="29"/>
    </row>
    <row r="16" spans="2:17" ht="21.9" hidden="1" customHeight="1" thickBot="1" x14ac:dyDescent="0.3">
      <c r="B16" s="17"/>
      <c r="C16" s="18">
        <f>C7/C4</f>
        <v>2.8590449750000002</v>
      </c>
      <c r="G16" s="34"/>
      <c r="H16" s="34"/>
      <c r="I16" s="1"/>
      <c r="J16" s="1"/>
      <c r="K16" s="1"/>
      <c r="L16" s="1"/>
      <c r="M16" s="1"/>
      <c r="N16" s="1"/>
      <c r="O16" s="1"/>
      <c r="P16" s="1"/>
      <c r="Q16" s="1"/>
    </row>
    <row r="17" spans="2:17" ht="21.9" hidden="1" customHeight="1" thickBot="1" x14ac:dyDescent="0.3">
      <c r="B17" s="17"/>
      <c r="C17" s="18">
        <f>C3/C16</f>
        <v>4.7428424941094187</v>
      </c>
      <c r="G17" s="34"/>
      <c r="H17" s="34"/>
      <c r="I17" s="1"/>
      <c r="J17" s="1"/>
      <c r="K17" s="1"/>
      <c r="L17" s="1"/>
      <c r="M17" s="1"/>
      <c r="N17" s="1"/>
      <c r="O17" s="1"/>
      <c r="P17" s="1"/>
      <c r="Q17" s="1"/>
    </row>
    <row r="18" spans="2:17" ht="21.9" customHeight="1" x14ac:dyDescent="0.3">
      <c r="B18" s="17" t="s">
        <v>22</v>
      </c>
      <c r="C18" s="18">
        <f>(C3/C17)*C12</f>
        <v>18.72674458625</v>
      </c>
      <c r="G18" s="34"/>
      <c r="H18" s="35"/>
      <c r="I18" s="29"/>
      <c r="J18" s="29"/>
      <c r="K18" s="29"/>
      <c r="L18" s="29"/>
      <c r="M18" s="29"/>
      <c r="N18" s="29"/>
      <c r="O18" s="29"/>
      <c r="P18" s="29"/>
      <c r="Q18" s="29"/>
    </row>
    <row r="19" spans="2:17" ht="21.9" customHeight="1" x14ac:dyDescent="0.3">
      <c r="B19" s="17" t="s">
        <v>18</v>
      </c>
      <c r="C19" s="18">
        <f>C3/C11*C13</f>
        <v>8.8336929460580915</v>
      </c>
      <c r="G19" s="34"/>
      <c r="H19" s="35"/>
      <c r="I19" s="1"/>
      <c r="J19" s="1"/>
      <c r="K19" s="1"/>
      <c r="L19" s="1"/>
      <c r="M19" s="1"/>
      <c r="N19" s="1"/>
      <c r="O19" s="1"/>
      <c r="P19" s="1"/>
      <c r="Q19" s="1"/>
    </row>
    <row r="20" spans="2:17" ht="21.9" customHeight="1" x14ac:dyDescent="0.3">
      <c r="B20" s="17" t="s">
        <v>19</v>
      </c>
      <c r="C20" s="18">
        <f>(C7/C4)*10.02</f>
        <v>28.647630649500002</v>
      </c>
      <c r="G20" s="30"/>
      <c r="H20" s="29"/>
      <c r="I20" s="33"/>
      <c r="J20" s="33"/>
      <c r="K20" s="33"/>
      <c r="L20" s="33"/>
      <c r="M20" s="33"/>
      <c r="N20" s="33"/>
      <c r="O20" s="33"/>
      <c r="P20" s="33"/>
      <c r="Q20" s="33"/>
    </row>
    <row r="21" spans="2:17" ht="21.9" hidden="1" customHeight="1" x14ac:dyDescent="0.25">
      <c r="B21" s="17" t="s">
        <v>5</v>
      </c>
      <c r="C21" s="19">
        <f>(C7*7)+(C8*0.5)</f>
        <v>1826127426.6639004</v>
      </c>
    </row>
    <row r="22" spans="2:17" ht="21.9" customHeight="1" x14ac:dyDescent="0.3">
      <c r="B22" s="17" t="s">
        <v>23</v>
      </c>
      <c r="C22" s="18">
        <f>C21/C4</f>
        <v>22.826592833298754</v>
      </c>
    </row>
    <row r="23" spans="2:17" ht="31.5" customHeight="1" thickBot="1" x14ac:dyDescent="0.35">
      <c r="B23" s="23" t="s">
        <v>20</v>
      </c>
      <c r="C23" s="20">
        <f>(C7/C8)*10/C11 *C3</f>
        <v>28.590449750000005</v>
      </c>
      <c r="G23" s="33"/>
      <c r="H23" s="33"/>
      <c r="I23" s="33"/>
      <c r="J23" s="33"/>
      <c r="K23" s="33"/>
      <c r="L23" s="33"/>
      <c r="M23" s="33"/>
      <c r="N23" s="33"/>
      <c r="O23" s="33"/>
      <c r="P23" s="33"/>
      <c r="Q23" s="33"/>
    </row>
    <row r="24" spans="2:17" ht="47.25" customHeight="1" thickBot="1" x14ac:dyDescent="0.35">
      <c r="B24" s="25" t="s">
        <v>17</v>
      </c>
      <c r="C24" s="22">
        <f>(C15+C18+C19+C20+C22+C23)/6</f>
        <v>20.557518460851142</v>
      </c>
    </row>
    <row r="25" spans="2:17" ht="34.5" customHeight="1" thickBot="1" x14ac:dyDescent="0.35">
      <c r="B25" s="24" t="s">
        <v>3</v>
      </c>
      <c r="C25" s="21">
        <f>(C24-C3)/C3</f>
        <v>0.51604118442855029</v>
      </c>
    </row>
    <row r="26" spans="2:17" ht="15.75" hidden="1" x14ac:dyDescent="0.25">
      <c r="B26" s="15" t="s">
        <v>7</v>
      </c>
      <c r="C26" s="16">
        <v>8.77E-2</v>
      </c>
    </row>
    <row r="27" spans="2:17" ht="15.75" hidden="1" x14ac:dyDescent="0.25">
      <c r="B27" s="4" t="s">
        <v>8</v>
      </c>
      <c r="C27" s="3">
        <v>8.9200000000000002E-2</v>
      </c>
    </row>
    <row r="28" spans="2:17" ht="15.75" hidden="1" x14ac:dyDescent="0.25">
      <c r="B28" s="4" t="s">
        <v>9</v>
      </c>
      <c r="C28" s="3">
        <v>5.1200000000000002E-2</v>
      </c>
    </row>
    <row r="29" spans="2:17" ht="15.75" hidden="1" x14ac:dyDescent="0.25">
      <c r="B29" s="4" t="s">
        <v>11</v>
      </c>
      <c r="C29" s="3">
        <v>5.4800000000000001E-2</v>
      </c>
    </row>
    <row r="30" spans="2:17" ht="15" hidden="1" x14ac:dyDescent="0.25"/>
    <row r="31" spans="2:17" ht="15" x14ac:dyDescent="0.25">
      <c r="B31" s="58"/>
      <c r="C31" s="58"/>
    </row>
    <row r="33" spans="2:7" ht="105" customHeight="1" x14ac:dyDescent="0.3">
      <c r="B33" s="59" t="s">
        <v>24</v>
      </c>
      <c r="C33" s="60"/>
      <c r="D33" s="60"/>
      <c r="E33" s="60"/>
      <c r="F33" s="60"/>
      <c r="G33" s="60"/>
    </row>
  </sheetData>
  <mergeCells count="4">
    <mergeCell ref="G13:H13"/>
    <mergeCell ref="B14:C14"/>
    <mergeCell ref="B31:C31"/>
    <mergeCell ref="B33:G33"/>
  </mergeCells>
  <pageMargins left="0.39370078740157483" right="0.39370078740157483" top="0.74803149606299213" bottom="0.74803149606299213" header="0.31496062992125984" footer="0.31496062992125984"/>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3"/>
  <sheetViews>
    <sheetView tabSelected="1" zoomScale="80" zoomScaleNormal="80" workbookViewId="0">
      <selection activeCell="C2" sqref="C2"/>
    </sheetView>
  </sheetViews>
  <sheetFormatPr defaultRowHeight="14.4" x14ac:dyDescent="0.3"/>
  <cols>
    <col min="1" max="1" width="5.5546875" customWidth="1"/>
    <col min="2" max="2" width="62.6640625" customWidth="1"/>
    <col min="3" max="3" width="23.5546875" customWidth="1"/>
    <col min="4" max="4" width="8.6640625" customWidth="1"/>
    <col min="5" max="5" width="20" hidden="1" customWidth="1"/>
    <col min="6" max="6" width="109.88671875" customWidth="1"/>
    <col min="7" max="7" width="40" customWidth="1"/>
    <col min="8" max="8" width="21.88671875" customWidth="1"/>
  </cols>
  <sheetData>
    <row r="1" spans="2:17" ht="4.5" customHeight="1" thickBot="1" x14ac:dyDescent="0.3"/>
    <row r="2" spans="2:17" ht="29.25" customHeight="1" x14ac:dyDescent="0.3">
      <c r="B2" s="13" t="s">
        <v>0</v>
      </c>
      <c r="C2" s="14" t="s">
        <v>10</v>
      </c>
    </row>
    <row r="3" spans="2:17" ht="20.100000000000001" customHeight="1" x14ac:dyDescent="0.3">
      <c r="B3" s="9" t="s">
        <v>1</v>
      </c>
      <c r="C3" s="5">
        <v>1</v>
      </c>
    </row>
    <row r="4" spans="2:17" ht="20.100000000000001" customHeight="1" x14ac:dyDescent="0.3">
      <c r="B4" s="9" t="s">
        <v>2</v>
      </c>
      <c r="C4" s="6">
        <v>1</v>
      </c>
    </row>
    <row r="5" spans="2:17" ht="20.100000000000001" customHeight="1" x14ac:dyDescent="0.25">
      <c r="B5" s="9" t="s">
        <v>43</v>
      </c>
      <c r="C5" s="6">
        <v>1</v>
      </c>
    </row>
    <row r="6" spans="2:17" ht="20.100000000000001" hidden="1" customHeight="1" x14ac:dyDescent="0.25">
      <c r="B6" s="9" t="s">
        <v>10</v>
      </c>
      <c r="C6" s="6">
        <v>4</v>
      </c>
    </row>
    <row r="7" spans="2:17" ht="20.100000000000001" customHeight="1" x14ac:dyDescent="0.3">
      <c r="B7" s="11" t="s">
        <v>42</v>
      </c>
      <c r="C7" s="12">
        <f>C5*2</f>
        <v>2</v>
      </c>
    </row>
    <row r="8" spans="2:17" ht="21.75" customHeight="1" x14ac:dyDescent="0.3">
      <c r="B8" s="11" t="s">
        <v>4</v>
      </c>
      <c r="C8" s="12">
        <f>C9/C11</f>
        <v>1</v>
      </c>
      <c r="E8" s="1"/>
      <c r="F8" s="44" t="s">
        <v>33</v>
      </c>
      <c r="G8" s="1"/>
    </row>
    <row r="9" spans="2:17" s="36" customFormat="1" ht="24.9" customHeight="1" x14ac:dyDescent="0.3">
      <c r="B9" s="11" t="s">
        <v>6</v>
      </c>
      <c r="C9" s="12">
        <f>C3*C4</f>
        <v>1</v>
      </c>
      <c r="E9" s="2"/>
      <c r="F9" s="43" t="s">
        <v>34</v>
      </c>
      <c r="G9" s="42"/>
      <c r="H9" s="37"/>
      <c r="I9" s="37"/>
      <c r="J9" s="37"/>
      <c r="K9" s="37"/>
      <c r="L9" s="37"/>
      <c r="M9" s="37"/>
      <c r="N9" s="37"/>
      <c r="O9" s="37"/>
      <c r="P9" s="37"/>
      <c r="Q9" s="37"/>
    </row>
    <row r="10" spans="2:17" ht="26.25" customHeight="1" x14ac:dyDescent="0.5">
      <c r="B10" s="9" t="s">
        <v>13</v>
      </c>
      <c r="C10" s="7">
        <v>1</v>
      </c>
      <c r="E10" s="1"/>
      <c r="F10" s="44" t="s">
        <v>35</v>
      </c>
      <c r="G10" s="40"/>
      <c r="H10" s="28"/>
      <c r="I10" s="1"/>
      <c r="J10" s="1"/>
      <c r="K10" s="1"/>
      <c r="L10" s="1"/>
      <c r="M10" s="1"/>
      <c r="N10" s="1"/>
      <c r="O10" s="1"/>
      <c r="P10" s="1"/>
      <c r="Q10" s="1"/>
    </row>
    <row r="11" spans="2:17" ht="24" customHeight="1" x14ac:dyDescent="0.5">
      <c r="B11" s="9" t="s">
        <v>14</v>
      </c>
      <c r="C11" s="7">
        <v>1</v>
      </c>
      <c r="E11" s="1"/>
      <c r="F11" s="43" t="s">
        <v>36</v>
      </c>
      <c r="G11" s="40"/>
      <c r="H11" s="30"/>
      <c r="I11" s="30"/>
      <c r="J11" s="30"/>
      <c r="K11" s="30"/>
      <c r="L11" s="30"/>
      <c r="M11" s="30"/>
      <c r="N11" s="30"/>
      <c r="O11" s="30"/>
      <c r="P11" s="30"/>
      <c r="Q11" s="30"/>
    </row>
    <row r="12" spans="2:17" ht="20.100000000000001" customHeight="1" x14ac:dyDescent="0.5">
      <c r="B12" s="9" t="s">
        <v>40</v>
      </c>
      <c r="C12" s="7">
        <v>1</v>
      </c>
      <c r="F12" s="39"/>
      <c r="G12" s="40"/>
      <c r="H12" s="32"/>
      <c r="I12" s="32"/>
      <c r="J12" s="32"/>
      <c r="K12" s="32"/>
      <c r="L12" s="32"/>
      <c r="M12" s="32"/>
      <c r="N12" s="32"/>
      <c r="O12" s="32"/>
      <c r="P12" s="32"/>
      <c r="Q12" s="32"/>
    </row>
    <row r="13" spans="2:17" ht="20.100000000000001" customHeight="1" thickBot="1" x14ac:dyDescent="0.65">
      <c r="B13" s="10" t="s">
        <v>41</v>
      </c>
      <c r="C13" s="8">
        <v>1</v>
      </c>
      <c r="F13" s="39"/>
      <c r="G13" s="40"/>
      <c r="H13" s="38"/>
      <c r="I13" s="29"/>
      <c r="J13" s="29"/>
      <c r="K13" s="29"/>
      <c r="L13" s="29"/>
      <c r="M13" s="29"/>
      <c r="N13" s="29"/>
      <c r="O13" s="29"/>
      <c r="P13" s="29"/>
      <c r="Q13" s="29"/>
    </row>
    <row r="14" spans="2:17" ht="36.75" customHeight="1" thickBot="1" x14ac:dyDescent="0.55000000000000004">
      <c r="B14" s="56" t="s">
        <v>37</v>
      </c>
      <c r="C14" s="57"/>
      <c r="F14" s="39"/>
      <c r="G14" s="40"/>
      <c r="H14" s="35"/>
      <c r="I14" s="30"/>
      <c r="J14" s="30"/>
      <c r="K14" s="30"/>
      <c r="L14" s="30"/>
      <c r="M14" s="30"/>
      <c r="N14" s="30"/>
      <c r="O14" s="30"/>
      <c r="P14" s="30"/>
      <c r="Q14" s="30"/>
    </row>
    <row r="15" spans="2:17" ht="21.9" customHeight="1" x14ac:dyDescent="0.3">
      <c r="B15" s="26" t="s">
        <v>21</v>
      </c>
      <c r="C15" s="51">
        <f>C3/C10*C12</f>
        <v>1</v>
      </c>
      <c r="F15" s="1"/>
      <c r="G15" s="34"/>
      <c r="H15" s="35"/>
      <c r="I15" s="29"/>
      <c r="J15" s="29"/>
      <c r="K15" s="29"/>
      <c r="L15" s="29"/>
      <c r="M15" s="29"/>
      <c r="N15" s="29"/>
      <c r="O15" s="29"/>
      <c r="P15" s="29"/>
      <c r="Q15" s="29"/>
    </row>
    <row r="16" spans="2:17" ht="21.9" hidden="1" customHeight="1" x14ac:dyDescent="0.25">
      <c r="B16" s="41" t="s">
        <v>31</v>
      </c>
      <c r="C16" s="52">
        <f>C7/C4</f>
        <v>2</v>
      </c>
      <c r="F16" s="1"/>
      <c r="G16" s="34"/>
      <c r="H16" s="34"/>
      <c r="I16" s="1"/>
      <c r="J16" s="1"/>
      <c r="K16" s="1"/>
      <c r="L16" s="1"/>
      <c r="M16" s="1"/>
      <c r="N16" s="1"/>
      <c r="O16" s="1"/>
      <c r="P16" s="1"/>
      <c r="Q16" s="1"/>
    </row>
    <row r="17" spans="2:17" ht="21.9" hidden="1" customHeight="1" x14ac:dyDescent="0.25">
      <c r="B17" s="41" t="s">
        <v>32</v>
      </c>
      <c r="C17" s="52">
        <f>C3/C16</f>
        <v>0.5</v>
      </c>
      <c r="F17" s="1"/>
      <c r="G17" s="34"/>
      <c r="H17" s="34"/>
      <c r="I17" s="1"/>
      <c r="J17" s="1"/>
      <c r="K17" s="1"/>
      <c r="L17" s="1"/>
      <c r="M17" s="1"/>
      <c r="N17" s="1"/>
      <c r="O17" s="1"/>
      <c r="P17" s="1"/>
      <c r="Q17" s="1"/>
    </row>
    <row r="18" spans="2:17" ht="21.9" customHeight="1" x14ac:dyDescent="0.3">
      <c r="B18" s="17" t="s">
        <v>22</v>
      </c>
      <c r="C18" s="52">
        <f>(C3/C17)*C12</f>
        <v>2</v>
      </c>
      <c r="F18" s="1"/>
      <c r="G18" s="34"/>
      <c r="H18" s="35"/>
      <c r="I18" s="29"/>
      <c r="J18" s="29"/>
      <c r="K18" s="29"/>
      <c r="L18" s="29"/>
      <c r="M18" s="29"/>
      <c r="N18" s="29"/>
      <c r="O18" s="29"/>
      <c r="P18" s="29"/>
      <c r="Q18" s="29"/>
    </row>
    <row r="19" spans="2:17" ht="21.9" customHeight="1" x14ac:dyDescent="0.3">
      <c r="B19" s="17" t="s">
        <v>18</v>
      </c>
      <c r="C19" s="52">
        <f>C3/C11*C13</f>
        <v>1</v>
      </c>
      <c r="F19" s="1"/>
      <c r="G19" s="34"/>
      <c r="H19" s="35"/>
      <c r="I19" s="1"/>
      <c r="J19" s="1"/>
      <c r="K19" s="1"/>
      <c r="L19" s="1"/>
      <c r="M19" s="1"/>
      <c r="N19" s="1"/>
      <c r="O19" s="1"/>
      <c r="P19" s="1"/>
      <c r="Q19" s="1"/>
    </row>
    <row r="20" spans="2:17" ht="21.9" customHeight="1" x14ac:dyDescent="0.3">
      <c r="B20" s="17" t="s">
        <v>19</v>
      </c>
      <c r="C20" s="52">
        <f>(C7/C4)*10.02</f>
        <v>20.04</v>
      </c>
      <c r="G20" s="30"/>
      <c r="H20" s="29"/>
      <c r="I20" s="33"/>
      <c r="J20" s="33"/>
      <c r="K20" s="33"/>
      <c r="L20" s="33"/>
      <c r="M20" s="33"/>
      <c r="N20" s="33"/>
      <c r="O20" s="33"/>
      <c r="P20" s="33"/>
      <c r="Q20" s="33"/>
    </row>
    <row r="21" spans="2:17" ht="21.9" hidden="1" customHeight="1" x14ac:dyDescent="0.25">
      <c r="B21" s="17" t="s">
        <v>5</v>
      </c>
      <c r="C21" s="53">
        <f>(C7*7)+(C8*0.5)</f>
        <v>14.5</v>
      </c>
    </row>
    <row r="22" spans="2:17" ht="21.9" customHeight="1" x14ac:dyDescent="0.3">
      <c r="B22" s="17" t="s">
        <v>23</v>
      </c>
      <c r="C22" s="52">
        <f>C21/C4</f>
        <v>14.5</v>
      </c>
    </row>
    <row r="23" spans="2:17" ht="31.5" customHeight="1" thickBot="1" x14ac:dyDescent="0.35">
      <c r="B23" s="23" t="s">
        <v>20</v>
      </c>
      <c r="C23" s="54">
        <f>(C7/C8)*10/C11 *C3</f>
        <v>20</v>
      </c>
      <c r="G23" s="33"/>
      <c r="H23" s="33"/>
      <c r="I23" s="33"/>
      <c r="J23" s="33"/>
      <c r="K23" s="33"/>
      <c r="L23" s="33"/>
      <c r="M23" s="33"/>
      <c r="N23" s="33"/>
      <c r="O23" s="33"/>
      <c r="P23" s="33"/>
      <c r="Q23" s="33"/>
    </row>
    <row r="24" spans="2:17" ht="47.25" customHeight="1" thickBot="1" x14ac:dyDescent="0.35">
      <c r="B24" s="47" t="s">
        <v>17</v>
      </c>
      <c r="C24" s="45">
        <f>(C15+C18+C19+C20+C22+C23)/6</f>
        <v>9.7566666666666659</v>
      </c>
    </row>
    <row r="25" spans="2:17" ht="34.5" customHeight="1" thickBot="1" x14ac:dyDescent="0.35">
      <c r="B25" s="48" t="s">
        <v>3</v>
      </c>
      <c r="C25" s="46">
        <f>(C24-C3)/C3</f>
        <v>8.7566666666666659</v>
      </c>
    </row>
    <row r="26" spans="2:17" ht="15.75" hidden="1" x14ac:dyDescent="0.25">
      <c r="B26" s="15" t="s">
        <v>7</v>
      </c>
      <c r="C26" s="16">
        <v>8.77E-2</v>
      </c>
    </row>
    <row r="27" spans="2:17" ht="15.75" hidden="1" x14ac:dyDescent="0.25">
      <c r="B27" s="4" t="s">
        <v>8</v>
      </c>
      <c r="C27" s="3">
        <v>8.9200000000000002E-2</v>
      </c>
    </row>
    <row r="28" spans="2:17" ht="15.75" hidden="1" x14ac:dyDescent="0.25">
      <c r="B28" s="4" t="s">
        <v>9</v>
      </c>
      <c r="C28" s="3">
        <v>5.1200000000000002E-2</v>
      </c>
    </row>
    <row r="29" spans="2:17" ht="15.75" hidden="1" x14ac:dyDescent="0.25">
      <c r="B29" s="4" t="s">
        <v>11</v>
      </c>
      <c r="C29" s="3">
        <v>5.4800000000000001E-2</v>
      </c>
    </row>
    <row r="30" spans="2:17" ht="15" hidden="1" x14ac:dyDescent="0.25"/>
    <row r="31" spans="2:17" ht="24" customHeight="1" thickBot="1" x14ac:dyDescent="0.35">
      <c r="B31" s="49" t="s">
        <v>38</v>
      </c>
      <c r="C31" s="50">
        <f>(C8-C4)/C4*100</f>
        <v>0</v>
      </c>
    </row>
    <row r="33" spans="2:7" ht="105" customHeight="1" x14ac:dyDescent="0.3">
      <c r="B33" s="59" t="s">
        <v>39</v>
      </c>
      <c r="C33" s="60"/>
      <c r="D33" s="60"/>
      <c r="E33" s="60"/>
      <c r="F33" s="60"/>
      <c r="G33" s="60"/>
    </row>
  </sheetData>
  <mergeCells count="2">
    <mergeCell ref="B14:C14"/>
    <mergeCell ref="B33:G33"/>
  </mergeCells>
  <hyperlinks>
    <hyperlink ref="F9" r:id="rId1"/>
    <hyperlink ref="F11" r:id="rId2" location="page-5"/>
  </hyperlinks>
  <pageMargins left="0.39370078740157483" right="0.39370078740157483" top="0.74803149606299213" bottom="0.74803149606299213" header="0.31496062992125984" footer="0.31496062992125984"/>
  <pageSetup paperSize="9" orientation="portrait" horizontalDpi="300"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2.ÇEYREK </vt:lpstr>
      <vt:lpstr>2.ÇEYREK  (2)</vt:lpstr>
      <vt:lpstr>2.ÇEYREK.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lastPrinted>2021-09-13T12:10:55Z</cp:lastPrinted>
  <dcterms:created xsi:type="dcterms:W3CDTF">2021-09-08T05:43:05Z</dcterms:created>
  <dcterms:modified xsi:type="dcterms:W3CDTF">2023-05-01T17:50:44Z</dcterms:modified>
</cp:coreProperties>
</file>