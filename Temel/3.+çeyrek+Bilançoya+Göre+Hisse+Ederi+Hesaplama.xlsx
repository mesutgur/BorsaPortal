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120" windowWidth="20736" windowHeight="11160"/>
  </bookViews>
  <sheets>
    <sheet name="3.ÇEYREK" sheetId="1" r:id="rId1"/>
    <sheet name="Sayfa2" sheetId="2" r:id="rId2"/>
    <sheet name="Sayfa3" sheetId="3" r:id="rId3"/>
  </sheets>
  <calcPr calcId="144525"/>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9" i="1" l="1"/>
  <c r="C6" i="1" l="1"/>
  <c r="C7" i="1" s="1"/>
  <c r="C20" i="1" l="1"/>
  <c r="C8" i="1"/>
  <c r="C31" i="1" s="1"/>
  <c r="C19" i="1"/>
  <c r="C15" i="1"/>
  <c r="C16" i="1" l="1"/>
  <c r="C17" i="1" s="1"/>
  <c r="C18" i="1" s="1"/>
  <c r="C21" i="1"/>
  <c r="C22" i="1" s="1"/>
  <c r="C23" i="1"/>
  <c r="C24" i="1" l="1"/>
  <c r="C25" i="1" s="1"/>
</calcChain>
</file>

<file path=xl/sharedStrings.xml><?xml version="1.0" encoding="utf-8"?>
<sst xmlns="http://schemas.openxmlformats.org/spreadsheetml/2006/main" count="35" uniqueCount="34">
  <si>
    <t>HİSSE ADI</t>
  </si>
  <si>
    <t>HİSSE FİYATI</t>
  </si>
  <si>
    <t>ÖDENMİŞ SERMAYE</t>
  </si>
  <si>
    <t>HİSSENİN PRİM POTANSİYELİ</t>
  </si>
  <si>
    <t>ÖZSERMAYE</t>
  </si>
  <si>
    <t>POTANSİYEL PİYASA DEĞERİ</t>
  </si>
  <si>
    <t>GÜNCEL PİYASA DEĞERİ</t>
  </si>
  <si>
    <t>2019 TEMETTÜ ORANI</t>
  </si>
  <si>
    <t>2020 TEMETTÜ ORANI</t>
  </si>
  <si>
    <t>2021 TEMETTÜ ORANI</t>
  </si>
  <si>
    <t>X</t>
  </si>
  <si>
    <t>2022 TEMETTÜ ORANI</t>
  </si>
  <si>
    <t>HİSSE F/K ORANI</t>
  </si>
  <si>
    <t>HİSSE PD/DD ORANI</t>
  </si>
  <si>
    <t>6 YÖNTEMİN ORTALAMASINA  GÖRE HİSSENİN OLMASI GEREKEN FİYATI</t>
  </si>
  <si>
    <t>3) PD/DD ORANINA GÖRE OLMASI GEREKEN FİYAT</t>
  </si>
  <si>
    <t>4) ÖDENMİŞ SERMAYEYE GÖRE OLMASI GEREKEN FİYAT</t>
  </si>
  <si>
    <t>6) YIL SONU TAHMİNİ ÖZSERMAYE KARLILIĞINA
 GÖRE OLMASI GEREKEN FİYAT</t>
  </si>
  <si>
    <t>1) CARİ F/K ORANINA GÖRE OLMASI GEREKEN FİYAT</t>
  </si>
  <si>
    <t>2)FUTURE'S F/K ORANINA GÖRE OLMASI GEREKEN FİYAT</t>
  </si>
  <si>
    <t>5) POTANSİYEL PİYASA DEĞERİNE  GÖRE OLMASI GEREKEN FİYAT</t>
  </si>
  <si>
    <t>YILSONU TAHMİNİ HBK</t>
  </si>
  <si>
    <t>YILSONU TAHMİNİ FK</t>
  </si>
  <si>
    <t>BİST100 FK VE PD/DD ORANI ORT. LİNKİ</t>
  </si>
  <si>
    <t>https://www.finnet.com.tr/f2000/Endeks/endeksanaliz.aspx?ENDEKSNO=100001&amp;x=10&amp;y=9</t>
  </si>
  <si>
    <t>SEKTÖR FK VE PD/DD ORANI ORT. LİNKİ</t>
  </si>
  <si>
    <t>https://www.isyatirim.com.tr/tr-tr/analiz/hisse/Sayfalar/Temel-Degerler-Ve-Oranlar.aspx?sektor=0008#page-5</t>
  </si>
  <si>
    <r>
      <rPr>
        <b/>
        <i/>
        <sz val="18"/>
        <color theme="0"/>
        <rFont val="Calibri"/>
        <family val="2"/>
        <charset val="162"/>
        <scheme val="minor"/>
      </rPr>
      <t xml:space="preserve">HİSSENİN OLMASI GEREKEN FİYATI ?
</t>
    </r>
    <r>
      <rPr>
        <b/>
        <i/>
        <sz val="12"/>
        <color theme="0"/>
        <rFont val="Calibri"/>
        <family val="2"/>
        <charset val="162"/>
        <scheme val="minor"/>
      </rPr>
      <t>Hazırlayan: Gani GÜLAYDIN</t>
    </r>
  </si>
  <si>
    <t>HİSSENİN BEDELSİZ POTANSİYELİ (%)</t>
  </si>
  <si>
    <t>BİST100 / SEKTÖR GÜNCEL F/K ORANI</t>
  </si>
  <si>
    <r>
      <rPr>
        <b/>
        <u/>
        <sz val="12"/>
        <color rgb="FFFF0000"/>
        <rFont val="Calibri"/>
        <family val="2"/>
        <charset val="162"/>
        <scheme val="minor"/>
      </rPr>
      <t>ÖNEMLİ NOT:</t>
    </r>
    <r>
      <rPr>
        <sz val="11"/>
        <color theme="1"/>
        <rFont val="Calibri"/>
        <family val="2"/>
        <charset val="162"/>
        <scheme val="minor"/>
      </rPr>
      <t xml:space="preserve"> YUKARIDA BULUNAN LİNKLERDEN SEKTÖR VEYA BİST 10O ORT. DEĞERLERE ULAŞABİLİRSİNİZ.
FORMÜLLERİN BOZULMAMASI İÇİN, TABLODAKİ SARI KUTUCUKLAR HARİCİNDE BAŞKA BİR KUTUYA MANUEL OLARAK BİR ŞEY YAZMAYALIM LÜTFEN.
FORMÜLLER BOZULURSA UDEMY'DEN TABLOLARI TEKRAR İNDİREBİLİRSİNİZ.
SARI KUTUCUKLARDAKİ ( 1 ) YAZAN BÖLÜMLERE HESAPLAYACAĞINIZ ŞİRKETE AİT BİLGİLERİ GİRDİĞİNİZDE HESAPLAMA OTOMATİK YAPILACAKTIR.
HEPİNİZE SEVGİ VE SELAMLARIMLA :)</t>
    </r>
  </si>
  <si>
    <t>BİST100 / SEKTÖR GÜNCEL PD/DD ORANI</t>
  </si>
  <si>
    <t>YIL SONU TAHMİNİ NET KAR (2023)</t>
  </si>
  <si>
    <t xml:space="preserve"> 9 AYLIK NET KAR (2023)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</si>
</sst>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00"/>
  </numFmts>
  <fonts count="19" x14ac:knownFonts="1">
    <font>
      <sz val="11"/>
      <color theme="1"/>
      <name val="Calibri"/>
      <family val="2"/>
      <charset val="162"/>
      <scheme val="minor"/>
    </font>
    <font>
      <sz val="12"/>
      <color theme="1"/>
      <name val="Calibri"/>
      <family val="2"/>
      <charset val="162"/>
      <scheme val="minor"/>
    </font>
    <font>
      <b/>
      <sz val="12"/>
      <color theme="1"/>
      <name val="Calibri"/>
      <family val="2"/>
      <charset val="162"/>
      <scheme val="minor"/>
    </font>
    <font>
      <b/>
      <sz val="13"/>
      <color theme="1"/>
      <name val="Calibri"/>
      <family val="2"/>
      <charset val="162"/>
      <scheme val="minor"/>
    </font>
    <font>
      <b/>
      <i/>
      <sz val="20"/>
      <color theme="0"/>
      <name val="Calibri"/>
      <family val="2"/>
      <charset val="162"/>
      <scheme val="minor"/>
    </font>
    <font>
      <b/>
      <i/>
      <sz val="8"/>
      <color theme="0"/>
      <name val="Calibri"/>
      <family val="2"/>
      <charset val="162"/>
      <scheme val="minor"/>
    </font>
    <font>
      <b/>
      <i/>
      <sz val="18"/>
      <color theme="0"/>
      <name val="Calibri"/>
      <family val="2"/>
      <charset val="162"/>
      <scheme val="minor"/>
    </font>
    <font>
      <b/>
      <sz val="12"/>
      <color theme="1" tint="4.9989318521683403E-2"/>
      <name val="Calibri"/>
      <family val="2"/>
      <charset val="162"/>
      <scheme val="minor"/>
    </font>
    <font>
      <u/>
      <sz val="11"/>
      <color theme="10"/>
      <name val="Calibri"/>
      <family val="2"/>
      <charset val="162"/>
      <scheme val="minor"/>
    </font>
    <font>
      <b/>
      <u/>
      <sz val="12"/>
      <color rgb="FFFF0000"/>
      <name val="Calibri"/>
      <family val="2"/>
      <charset val="162"/>
      <scheme val="minor"/>
    </font>
    <font>
      <b/>
      <sz val="18"/>
      <color theme="1"/>
      <name val="Calibri"/>
      <family val="2"/>
      <charset val="162"/>
      <scheme val="minor"/>
    </font>
    <font>
      <b/>
      <sz val="18"/>
      <color theme="3" tint="-0.499984740745262"/>
      <name val="Calibri"/>
      <family val="2"/>
      <charset val="162"/>
      <scheme val="minor"/>
    </font>
    <font>
      <b/>
      <sz val="11"/>
      <color theme="1"/>
      <name val="Calibri"/>
      <family val="2"/>
      <charset val="162"/>
      <scheme val="minor"/>
    </font>
    <font>
      <b/>
      <i/>
      <sz val="12"/>
      <color theme="0"/>
      <name val="Calibri"/>
      <family val="2"/>
      <charset val="162"/>
      <scheme val="minor"/>
    </font>
    <font>
      <b/>
      <sz val="18"/>
      <color theme="0" tint="-4.9989318521683403E-2"/>
      <name val="Calibri"/>
      <family val="2"/>
      <charset val="162"/>
      <scheme val="minor"/>
    </font>
    <font>
      <b/>
      <sz val="18"/>
      <color theme="0"/>
      <name val="Calibri"/>
      <family val="2"/>
      <charset val="162"/>
      <scheme val="minor"/>
    </font>
    <font>
      <b/>
      <sz val="22"/>
      <color theme="0"/>
      <name val="Calibri"/>
      <family val="2"/>
      <charset val="162"/>
      <scheme val="minor"/>
    </font>
    <font>
      <b/>
      <sz val="17"/>
      <color theme="1"/>
      <name val="Calibri"/>
      <family val="2"/>
      <charset val="162"/>
      <scheme val="minor"/>
    </font>
    <font>
      <b/>
      <sz val="14"/>
      <color theme="1" tint="4.9989318521683403E-2"/>
      <name val="Calibri"/>
      <family val="2"/>
      <charset val="162"/>
      <scheme val="minor"/>
    </font>
  </fonts>
  <fills count="8">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0"/>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1" tint="4.9989318521683403E-2"/>
        <bgColor indexed="64"/>
      </patternFill>
    </fill>
  </fills>
  <borders count="17">
    <border>
      <left/>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s>
  <cellStyleXfs count="2">
    <xf numFmtId="0" fontId="0" fillId="0" borderId="0"/>
    <xf numFmtId="0" fontId="8" fillId="0" borderId="0" applyNumberFormat="0" applyFill="0" applyBorder="0" applyAlignment="0" applyProtection="0"/>
  </cellStyleXfs>
  <cellXfs count="43">
    <xf numFmtId="0" fontId="0" fillId="0" borderId="0" xfId="0"/>
    <xf numFmtId="0" fontId="0" fillId="0" borderId="0" xfId="0" applyBorder="1"/>
    <xf numFmtId="3" fontId="1" fillId="4" borderId="0" xfId="0" applyNumberFormat="1" applyFont="1" applyFill="1" applyBorder="1" applyAlignment="1">
      <alignment horizontal="center" vertical="center"/>
    </xf>
    <xf numFmtId="10" fontId="1" fillId="5" borderId="7" xfId="0" applyNumberFormat="1" applyFont="1" applyFill="1" applyBorder="1" applyAlignment="1">
      <alignment horizontal="center" vertical="center"/>
    </xf>
    <xf numFmtId="0" fontId="2" fillId="5" borderId="7" xfId="0" applyFont="1" applyFill="1" applyBorder="1"/>
    <xf numFmtId="4" fontId="2" fillId="2" borderId="3" xfId="0" applyNumberFormat="1" applyFont="1" applyFill="1" applyBorder="1" applyAlignment="1">
      <alignment horizontal="center" vertical="center"/>
    </xf>
    <xf numFmtId="3" fontId="2" fillId="2" borderId="3" xfId="0" applyNumberFormat="1" applyFont="1" applyFill="1" applyBorder="1" applyAlignment="1">
      <alignment horizontal="center" vertical="center"/>
    </xf>
    <xf numFmtId="0" fontId="2" fillId="2" borderId="3" xfId="0" applyFont="1" applyFill="1" applyBorder="1" applyAlignment="1">
      <alignment horizontal="center" vertical="center"/>
    </xf>
    <xf numFmtId="0" fontId="2" fillId="2" borderId="5"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 xfId="0" applyFont="1" applyFill="1" applyBorder="1" applyAlignment="1">
      <alignment horizontal="center" vertical="center"/>
    </xf>
    <xf numFmtId="0" fontId="3" fillId="6" borderId="2" xfId="0" applyFont="1" applyFill="1" applyBorder="1" applyAlignment="1">
      <alignment horizontal="center" vertical="center"/>
    </xf>
    <xf numFmtId="3" fontId="2" fillId="6" borderId="3" xfId="0" applyNumberFormat="1" applyFont="1" applyFill="1" applyBorder="1" applyAlignment="1">
      <alignment horizontal="center" vertical="center"/>
    </xf>
    <xf numFmtId="0" fontId="4" fillId="7" borderId="6" xfId="0" applyFont="1" applyFill="1" applyBorder="1" applyAlignment="1">
      <alignment horizontal="center" vertical="center"/>
    </xf>
    <xf numFmtId="0" fontId="4" fillId="7" borderId="1" xfId="0" applyFont="1" applyFill="1" applyBorder="1" applyAlignment="1">
      <alignment horizontal="center" vertical="center" wrapText="1"/>
    </xf>
    <xf numFmtId="0" fontId="2" fillId="5" borderId="13" xfId="0" applyFont="1" applyFill="1" applyBorder="1"/>
    <xf numFmtId="10" fontId="1" fillId="5" borderId="13" xfId="0" applyNumberFormat="1" applyFont="1" applyFill="1" applyBorder="1" applyAlignment="1">
      <alignment horizontal="center" vertical="center"/>
    </xf>
    <xf numFmtId="0" fontId="7" fillId="6" borderId="2" xfId="0" applyFont="1" applyFill="1" applyBorder="1" applyAlignment="1">
      <alignment horizontal="left" vertical="center"/>
    </xf>
    <xf numFmtId="0" fontId="7" fillId="6" borderId="16" xfId="0" applyFont="1" applyFill="1" applyBorder="1" applyAlignment="1">
      <alignment horizontal="left" vertical="center" wrapText="1"/>
    </xf>
    <xf numFmtId="0" fontId="7" fillId="6" borderId="10" xfId="0" applyFont="1" applyFill="1" applyBorder="1" applyAlignment="1">
      <alignment horizontal="left" vertical="center"/>
    </xf>
    <xf numFmtId="164" fontId="0" fillId="0" borderId="0" xfId="0" applyNumberFormat="1" applyBorder="1"/>
    <xf numFmtId="0" fontId="10" fillId="0" borderId="0" xfId="0" applyFont="1" applyBorder="1" applyAlignment="1">
      <alignment horizontal="center" vertical="center"/>
    </xf>
    <xf numFmtId="0" fontId="11" fillId="0" borderId="0" xfId="0" applyFont="1" applyBorder="1" applyAlignment="1">
      <alignment horizontal="center" vertical="center"/>
    </xf>
    <xf numFmtId="0" fontId="12" fillId="0" borderId="7" xfId="0" applyFont="1" applyBorder="1"/>
    <xf numFmtId="9" fontId="8" fillId="0" borderId="7" xfId="1" applyNumberFormat="1" applyBorder="1"/>
    <xf numFmtId="0" fontId="12" fillId="0" borderId="0" xfId="0" applyFont="1" applyBorder="1"/>
    <xf numFmtId="0" fontId="8" fillId="0" borderId="7" xfId="1" applyFont="1" applyBorder="1" applyAlignment="1">
      <alignment horizontal="center" vertical="center"/>
    </xf>
    <xf numFmtId="0" fontId="14" fillId="3" borderId="12" xfId="0" applyFont="1" applyFill="1" applyBorder="1" applyAlignment="1">
      <alignment horizontal="center" vertical="center" wrapText="1"/>
    </xf>
    <xf numFmtId="0" fontId="15" fillId="3" borderId="15" xfId="0" applyFont="1" applyFill="1" applyBorder="1" applyAlignment="1">
      <alignment horizontal="center" vertical="center" wrapText="1"/>
    </xf>
    <xf numFmtId="164" fontId="16" fillId="3" borderId="12" xfId="0" applyNumberFormat="1" applyFont="1" applyFill="1" applyBorder="1" applyAlignment="1">
      <alignment horizontal="center" vertical="center"/>
    </xf>
    <xf numFmtId="10" fontId="16" fillId="3" borderId="15" xfId="0" applyNumberFormat="1" applyFont="1" applyFill="1" applyBorder="1" applyAlignment="1">
      <alignment horizontal="center" vertical="center"/>
    </xf>
    <xf numFmtId="0" fontId="17" fillId="3" borderId="8" xfId="0" applyFont="1" applyFill="1" applyBorder="1" applyAlignment="1">
      <alignment horizontal="center" vertical="center"/>
    </xf>
    <xf numFmtId="3" fontId="17" fillId="3" borderId="12" xfId="0" applyNumberFormat="1" applyFont="1" applyFill="1" applyBorder="1" applyAlignment="1">
      <alignment horizontal="center" vertical="center"/>
    </xf>
    <xf numFmtId="4" fontId="18" fillId="6" borderId="11" xfId="0" applyNumberFormat="1" applyFont="1" applyFill="1" applyBorder="1" applyAlignment="1">
      <alignment horizontal="center" vertical="center"/>
    </xf>
    <xf numFmtId="4" fontId="18" fillId="6" borderId="3" xfId="0" applyNumberFormat="1" applyFont="1" applyFill="1" applyBorder="1" applyAlignment="1">
      <alignment horizontal="center" vertical="center"/>
    </xf>
    <xf numFmtId="3" fontId="18" fillId="6" borderId="3" xfId="0" applyNumberFormat="1" applyFont="1" applyFill="1" applyBorder="1" applyAlignment="1">
      <alignment horizontal="center" vertical="center"/>
    </xf>
    <xf numFmtId="4" fontId="18" fillId="6" borderId="14" xfId="0" applyNumberFormat="1" applyFont="1" applyFill="1" applyBorder="1" applyAlignment="1">
      <alignment horizontal="center" vertical="center"/>
    </xf>
    <xf numFmtId="0" fontId="2" fillId="0" borderId="0" xfId="0" applyFont="1" applyBorder="1" applyAlignment="1">
      <alignment horizontal="center"/>
    </xf>
    <xf numFmtId="0" fontId="0" fillId="0" borderId="0" xfId="0" applyAlignment="1">
      <alignment horizontal="left" vertical="top" wrapText="1"/>
    </xf>
    <xf numFmtId="0" fontId="0" fillId="0" borderId="0" xfId="0" applyAlignment="1">
      <alignment horizontal="left" vertical="top"/>
    </xf>
    <xf numFmtId="0" fontId="5" fillId="7" borderId="8" xfId="0" applyFont="1" applyFill="1" applyBorder="1" applyAlignment="1">
      <alignment horizontal="center" vertical="center" wrapText="1"/>
    </xf>
    <xf numFmtId="0" fontId="5" fillId="7" borderId="9" xfId="0" applyFont="1" applyFill="1" applyBorder="1" applyAlignment="1">
      <alignment horizontal="center" vertical="center"/>
    </xf>
    <xf numFmtId="0" fontId="8" fillId="0" borderId="0" xfId="1" applyBorder="1" applyAlignment="1">
      <alignment horizontal="center"/>
    </xf>
  </cellXfs>
  <cellStyles count="2">
    <cellStyle name="Köprü" xfId="1" builtinId="8"/>
    <cellStyle name="Normal" xfId="0" builtinId="0"/>
  </cellStyles>
  <dxfs count="0"/>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is Teması">
  <a:themeElements>
    <a:clrScheme name="Ofis">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is">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i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isyatirim.com.tr/tr-tr/analiz/hisse/Sayfalar/Temel-Degerler-Ve-Oranlar.aspx?sektor=0008" TargetMode="External"/><Relationship Id="rId1" Type="http://schemas.openxmlformats.org/officeDocument/2006/relationships/hyperlink" Target="https://www.finnet.com.tr/f2000/Endeks/endeksanaliz.aspx?ENDEKSNO=100001&amp;x=10&amp;y=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33"/>
  <sheetViews>
    <sheetView tabSelected="1" zoomScale="80" zoomScaleNormal="80" workbookViewId="0">
      <selection activeCell="C2" sqref="C2"/>
    </sheetView>
  </sheetViews>
  <sheetFormatPr defaultRowHeight="14.4" x14ac:dyDescent="0.3"/>
  <cols>
    <col min="1" max="1" width="4" customWidth="1"/>
    <col min="2" max="2" width="62.6640625" customWidth="1"/>
    <col min="3" max="3" width="23.5546875" customWidth="1"/>
    <col min="4" max="4" width="8.6640625" customWidth="1"/>
    <col min="5" max="5" width="20" hidden="1" customWidth="1"/>
    <col min="6" max="6" width="2.44140625" customWidth="1"/>
    <col min="7" max="7" width="111.5546875" customWidth="1"/>
    <col min="8" max="8" width="20" customWidth="1"/>
  </cols>
  <sheetData>
    <row r="1" spans="2:17" ht="4.5" customHeight="1" thickBot="1" x14ac:dyDescent="0.3"/>
    <row r="2" spans="2:17" ht="27" customHeight="1" x14ac:dyDescent="0.3">
      <c r="B2" s="13" t="s">
        <v>0</v>
      </c>
      <c r="C2" s="14" t="s">
        <v>10</v>
      </c>
    </row>
    <row r="3" spans="2:17" ht="20.100000000000001" customHeight="1" x14ac:dyDescent="0.3">
      <c r="B3" s="9" t="s">
        <v>1</v>
      </c>
      <c r="C3" s="5">
        <v>1</v>
      </c>
    </row>
    <row r="4" spans="2:17" ht="20.100000000000001" customHeight="1" x14ac:dyDescent="0.3">
      <c r="B4" s="9" t="s">
        <v>2</v>
      </c>
      <c r="C4" s="6">
        <v>1</v>
      </c>
      <c r="G4" s="1"/>
      <c r="H4" s="1"/>
      <c r="I4" s="1"/>
      <c r="J4" s="1"/>
      <c r="K4" s="1"/>
      <c r="L4" s="1"/>
      <c r="M4" s="1"/>
      <c r="N4" s="1"/>
      <c r="O4" s="1"/>
      <c r="P4" s="1"/>
      <c r="Q4" s="1"/>
    </row>
    <row r="5" spans="2:17" ht="20.100000000000001" customHeight="1" x14ac:dyDescent="0.25">
      <c r="B5" s="9" t="s">
        <v>33</v>
      </c>
      <c r="C5" s="6">
        <v>1</v>
      </c>
      <c r="G5" s="37"/>
      <c r="H5" s="37"/>
      <c r="I5" s="37"/>
      <c r="J5" s="37"/>
      <c r="K5" s="37"/>
      <c r="L5" s="37"/>
      <c r="M5" s="37"/>
      <c r="N5" s="37"/>
      <c r="O5" s="37"/>
      <c r="P5" s="37"/>
      <c r="Q5" s="37"/>
    </row>
    <row r="6" spans="2:17" ht="20.100000000000001" hidden="1" customHeight="1" x14ac:dyDescent="0.25">
      <c r="B6" s="9" t="s">
        <v>10</v>
      </c>
      <c r="C6" s="6">
        <f>C5/3</f>
        <v>0.33333333333333331</v>
      </c>
      <c r="G6" s="1"/>
      <c r="H6" s="1"/>
      <c r="I6" s="1"/>
      <c r="J6" s="1"/>
      <c r="K6" s="1"/>
      <c r="L6" s="1"/>
      <c r="M6" s="1"/>
      <c r="N6" s="1"/>
      <c r="O6" s="1"/>
      <c r="P6" s="1"/>
      <c r="Q6" s="1"/>
    </row>
    <row r="7" spans="2:17" ht="20.100000000000001" customHeight="1" x14ac:dyDescent="0.3">
      <c r="B7" s="11" t="s">
        <v>32</v>
      </c>
      <c r="C7" s="12">
        <f>C5+C6</f>
        <v>1.3333333333333333</v>
      </c>
      <c r="G7" s="42"/>
      <c r="H7" s="42"/>
      <c r="I7" s="42"/>
      <c r="J7" s="42"/>
      <c r="K7" s="42"/>
      <c r="L7" s="42"/>
      <c r="M7" s="42"/>
      <c r="N7" s="42"/>
      <c r="O7" s="42"/>
      <c r="P7" s="42"/>
      <c r="Q7" s="42"/>
    </row>
    <row r="8" spans="2:17" ht="20.100000000000001" customHeight="1" x14ac:dyDescent="0.3">
      <c r="B8" s="11" t="s">
        <v>4</v>
      </c>
      <c r="C8" s="12">
        <f>C9/C11</f>
        <v>1</v>
      </c>
      <c r="E8" s="1"/>
      <c r="G8" s="37"/>
      <c r="H8" s="37"/>
      <c r="I8" s="37"/>
      <c r="J8" s="37"/>
      <c r="K8" s="37"/>
      <c r="L8" s="37"/>
      <c r="M8" s="37"/>
      <c r="N8" s="37"/>
      <c r="O8" s="37"/>
      <c r="P8" s="37"/>
      <c r="Q8" s="37"/>
    </row>
    <row r="9" spans="2:17" ht="20.100000000000001" customHeight="1" x14ac:dyDescent="0.3">
      <c r="B9" s="11" t="s">
        <v>6</v>
      </c>
      <c r="C9" s="12">
        <f>C3*C4</f>
        <v>1</v>
      </c>
      <c r="E9" s="2"/>
      <c r="G9" s="42"/>
      <c r="H9" s="42"/>
      <c r="I9" s="42"/>
      <c r="J9" s="42"/>
      <c r="K9" s="42"/>
      <c r="L9" s="42"/>
      <c r="M9" s="42"/>
      <c r="N9" s="42"/>
      <c r="O9" s="42"/>
      <c r="P9" s="42"/>
      <c r="Q9" s="42"/>
    </row>
    <row r="10" spans="2:17" ht="20.100000000000001" customHeight="1" x14ac:dyDescent="0.3">
      <c r="B10" s="9" t="s">
        <v>12</v>
      </c>
      <c r="C10" s="7">
        <v>1</v>
      </c>
      <c r="E10" s="1"/>
      <c r="G10" s="23" t="s">
        <v>23</v>
      </c>
      <c r="H10" s="20"/>
      <c r="I10" s="1"/>
      <c r="J10" s="1"/>
      <c r="K10" s="1"/>
      <c r="L10" s="1"/>
      <c r="M10" s="1"/>
      <c r="N10" s="1"/>
      <c r="O10" s="1"/>
      <c r="P10" s="1"/>
      <c r="Q10" s="1"/>
    </row>
    <row r="11" spans="2:17" ht="20.100000000000001" customHeight="1" x14ac:dyDescent="0.3">
      <c r="B11" s="9" t="s">
        <v>13</v>
      </c>
      <c r="C11" s="7">
        <v>1</v>
      </c>
      <c r="E11" s="1"/>
      <c r="G11" s="24" t="s">
        <v>24</v>
      </c>
      <c r="H11" s="1"/>
      <c r="I11" s="1"/>
      <c r="J11" s="1"/>
      <c r="K11" s="1"/>
      <c r="L11" s="1"/>
      <c r="M11" s="1"/>
      <c r="N11" s="1"/>
      <c r="O11" s="1"/>
      <c r="P11" s="1"/>
      <c r="Q11" s="1"/>
    </row>
    <row r="12" spans="2:17" ht="30" customHeight="1" x14ac:dyDescent="0.3">
      <c r="B12" s="9" t="s">
        <v>29</v>
      </c>
      <c r="C12" s="7">
        <v>1</v>
      </c>
      <c r="G12" s="23" t="s">
        <v>25</v>
      </c>
      <c r="H12" s="25"/>
    </row>
    <row r="13" spans="2:17" ht="20.100000000000001" customHeight="1" thickBot="1" x14ac:dyDescent="0.35">
      <c r="B13" s="10" t="s">
        <v>31</v>
      </c>
      <c r="C13" s="8">
        <v>1</v>
      </c>
      <c r="G13" s="26" t="s">
        <v>26</v>
      </c>
      <c r="H13" s="22"/>
    </row>
    <row r="14" spans="2:17" ht="38.25" customHeight="1" thickBot="1" x14ac:dyDescent="0.35">
      <c r="B14" s="40" t="s">
        <v>27</v>
      </c>
      <c r="C14" s="41"/>
      <c r="G14" s="21"/>
      <c r="H14" s="22"/>
    </row>
    <row r="15" spans="2:17" ht="21.9" customHeight="1" x14ac:dyDescent="0.3">
      <c r="B15" s="19" t="s">
        <v>18</v>
      </c>
      <c r="C15" s="33">
        <f>C3/C10*C12</f>
        <v>1</v>
      </c>
      <c r="G15" s="21"/>
      <c r="H15" s="22"/>
    </row>
    <row r="16" spans="2:17" ht="21.9" hidden="1" customHeight="1" x14ac:dyDescent="0.25">
      <c r="B16" s="17" t="s">
        <v>21</v>
      </c>
      <c r="C16" s="34">
        <f>C7/C4</f>
        <v>1.3333333333333333</v>
      </c>
      <c r="G16" s="21"/>
      <c r="H16" s="22"/>
    </row>
    <row r="17" spans="2:8" ht="21.9" hidden="1" customHeight="1" x14ac:dyDescent="0.25">
      <c r="B17" s="17" t="s">
        <v>22</v>
      </c>
      <c r="C17" s="34">
        <f>C3/C16</f>
        <v>0.75</v>
      </c>
      <c r="G17" s="21"/>
      <c r="H17" s="22"/>
    </row>
    <row r="18" spans="2:8" ht="21.9" customHeight="1" x14ac:dyDescent="0.3">
      <c r="B18" s="17" t="s">
        <v>19</v>
      </c>
      <c r="C18" s="34">
        <f>(C3/C17)*C12</f>
        <v>1.3333333333333333</v>
      </c>
      <c r="G18" s="21"/>
      <c r="H18" s="22"/>
    </row>
    <row r="19" spans="2:8" ht="21.9" customHeight="1" x14ac:dyDescent="0.3">
      <c r="B19" s="17" t="s">
        <v>15</v>
      </c>
      <c r="C19" s="34">
        <f>C3/C11*C13</f>
        <v>1</v>
      </c>
      <c r="G19" s="21"/>
      <c r="H19" s="22"/>
    </row>
    <row r="20" spans="2:8" ht="21.9" customHeight="1" x14ac:dyDescent="0.3">
      <c r="B20" s="17" t="s">
        <v>16</v>
      </c>
      <c r="C20" s="34">
        <f>(C7/C4)*10</f>
        <v>13.333333333333332</v>
      </c>
    </row>
    <row r="21" spans="2:8" ht="21.9" hidden="1" customHeight="1" x14ac:dyDescent="0.25">
      <c r="B21" s="17" t="s">
        <v>5</v>
      </c>
      <c r="C21" s="35">
        <f>(C7*7)+(C8*0.5)</f>
        <v>9.8333333333333321</v>
      </c>
    </row>
    <row r="22" spans="2:8" ht="21.9" customHeight="1" x14ac:dyDescent="0.3">
      <c r="B22" s="17" t="s">
        <v>20</v>
      </c>
      <c r="C22" s="34">
        <f>C21/C4</f>
        <v>9.8333333333333321</v>
      </c>
    </row>
    <row r="23" spans="2:8" ht="31.5" customHeight="1" thickBot="1" x14ac:dyDescent="0.35">
      <c r="B23" s="18" t="s">
        <v>17</v>
      </c>
      <c r="C23" s="36">
        <f>(C7/C8)*10/C11 *C3</f>
        <v>13.333333333333332</v>
      </c>
    </row>
    <row r="24" spans="2:8" ht="47.25" customHeight="1" thickBot="1" x14ac:dyDescent="0.35">
      <c r="B24" s="27" t="s">
        <v>14</v>
      </c>
      <c r="C24" s="29">
        <f>(C15+C18+C19+C20+C22+C23)/6</f>
        <v>6.6388888888888884</v>
      </c>
    </row>
    <row r="25" spans="2:8" ht="34.5" customHeight="1" thickBot="1" x14ac:dyDescent="0.35">
      <c r="B25" s="28" t="s">
        <v>3</v>
      </c>
      <c r="C25" s="30">
        <f>(C24-C3)/C3</f>
        <v>5.6388888888888884</v>
      </c>
    </row>
    <row r="26" spans="2:8" ht="15.75" hidden="1" x14ac:dyDescent="0.25">
      <c r="B26" s="15" t="s">
        <v>7</v>
      </c>
      <c r="C26" s="16">
        <v>8.77E-2</v>
      </c>
    </row>
    <row r="27" spans="2:8" ht="15.75" hidden="1" x14ac:dyDescent="0.25">
      <c r="B27" s="4" t="s">
        <v>8</v>
      </c>
      <c r="C27" s="3">
        <v>8.9200000000000002E-2</v>
      </c>
    </row>
    <row r="28" spans="2:8" ht="15.75" hidden="1" x14ac:dyDescent="0.25">
      <c r="B28" s="4" t="s">
        <v>9</v>
      </c>
      <c r="C28" s="3">
        <v>5.1200000000000002E-2</v>
      </c>
    </row>
    <row r="29" spans="2:8" ht="15.75" hidden="1" x14ac:dyDescent="0.25">
      <c r="B29" s="4" t="s">
        <v>11</v>
      </c>
      <c r="C29" s="3">
        <v>5.4800000000000001E-2</v>
      </c>
    </row>
    <row r="30" spans="2:8" ht="15" hidden="1" x14ac:dyDescent="0.25"/>
    <row r="31" spans="2:8" ht="22.8" thickBot="1" x14ac:dyDescent="0.35">
      <c r="B31" s="31" t="s">
        <v>28</v>
      </c>
      <c r="C31" s="32">
        <f>(C8-C4)/C4*100</f>
        <v>0</v>
      </c>
    </row>
    <row r="33" spans="2:9" ht="86.25" customHeight="1" x14ac:dyDescent="0.3">
      <c r="B33" s="38" t="s">
        <v>30</v>
      </c>
      <c r="C33" s="39"/>
      <c r="D33" s="39"/>
      <c r="E33" s="39"/>
      <c r="F33" s="39"/>
      <c r="G33" s="39"/>
      <c r="H33" s="39"/>
      <c r="I33" s="39"/>
    </row>
  </sheetData>
  <mergeCells count="6">
    <mergeCell ref="G5:Q5"/>
    <mergeCell ref="G8:Q8"/>
    <mergeCell ref="B33:I33"/>
    <mergeCell ref="B14:C14"/>
    <mergeCell ref="G9:Q9"/>
    <mergeCell ref="G7:Q7"/>
  </mergeCells>
  <hyperlinks>
    <hyperlink ref="G11" r:id="rId1"/>
    <hyperlink ref="G13" r:id="rId2" location="page-5"/>
  </hyperlinks>
  <pageMargins left="0.39370078740157483" right="0.39370078740157483" top="0.74803149606299213" bottom="0.74803149606299213" header="0.31496062992125984" footer="0.31496062992125984"/>
  <pageSetup paperSize="9" orientation="portrait" horizontalDpi="300" verticalDpi="3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3.ÇEYREK</vt:lpstr>
      <vt:lpstr>Sayfa2</vt:lpstr>
      <vt:lpstr>Sayfa3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User</cp:lastModifiedBy>
  <cp:lastPrinted>2021-09-13T12:10:55Z</cp:lastPrinted>
  <dcterms:created xsi:type="dcterms:W3CDTF">2021-09-08T05:43:05Z</dcterms:created>
  <dcterms:modified xsi:type="dcterms:W3CDTF">2023-05-01T17:51:02Z</dcterms:modified>
</cp:coreProperties>
</file>