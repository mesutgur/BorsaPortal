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</sheets>
  <calcPr calcId="144525"/>
</workbook>
</file>

<file path=xl/calcChain.xml><?xml version="1.0" encoding="utf-8"?>
<calcChain xmlns="http://schemas.openxmlformats.org/spreadsheetml/2006/main">
  <c r="C11" i="1" l="1"/>
  <c r="C12" i="1" s="1"/>
  <c r="C13" i="1" s="1"/>
  <c r="C14" i="1" s="1"/>
</calcChain>
</file>

<file path=xl/sharedStrings.xml><?xml version="1.0" encoding="utf-8"?>
<sst xmlns="http://schemas.openxmlformats.org/spreadsheetml/2006/main" count="13" uniqueCount="13">
  <si>
    <t>ÖDENMİŞ SERMAYE</t>
  </si>
  <si>
    <t>TAHMİNİ HBK (2024 SONU)</t>
  </si>
  <si>
    <t>TAHMİNİ NET KÂR (2024 SONU)</t>
  </si>
  <si>
    <t>GÜNCEL F/K ORANI</t>
  </si>
  <si>
    <t>FUTURE'S F/K (TAHMİNİ)</t>
  </si>
  <si>
    <t>HEDEF FİYAT</t>
  </si>
  <si>
    <t>PRİM POTANSİYELİ</t>
  </si>
  <si>
    <t>SEKTÖR VEYA BİST100 F/K ORTALAMASI</t>
  </si>
  <si>
    <r>
      <rPr>
        <b/>
        <sz val="10"/>
        <color theme="1"/>
        <rFont val="Calibri"/>
        <family val="2"/>
        <charset val="162"/>
        <scheme val="minor"/>
      </rPr>
      <t xml:space="preserve">HAZIRLAYAN: </t>
    </r>
    <r>
      <rPr>
        <sz val="10"/>
        <color theme="1"/>
        <rFont val="Calibri"/>
        <family val="2"/>
        <charset val="162"/>
        <scheme val="minor"/>
      </rPr>
      <t>GANİ GÜLAYDIN</t>
    </r>
  </si>
  <si>
    <r>
      <t xml:space="preserve">KAP SİTESİNDE AÇIKLANAN İŞ ANLAŞMALARI MİKTARI: </t>
    </r>
    <r>
      <rPr>
        <b/>
        <sz val="12"/>
        <color theme="1"/>
        <rFont val="Calibri"/>
        <family val="2"/>
        <scheme val="minor"/>
      </rPr>
      <t>13.7 MİLYAR TL</t>
    </r>
  </si>
  <si>
    <r>
      <rPr>
        <sz val="18"/>
        <color theme="0"/>
        <rFont val="Arial Black"/>
        <family val="2"/>
        <charset val="162"/>
      </rPr>
      <t>GESAN</t>
    </r>
    <r>
      <rPr>
        <sz val="16"/>
        <color theme="0"/>
        <rFont val="Arial Black"/>
        <family val="2"/>
        <charset val="162"/>
      </rPr>
      <t xml:space="preserve">   </t>
    </r>
    <r>
      <rPr>
        <sz val="12"/>
        <color theme="0"/>
        <rFont val="Arial Black"/>
        <family val="2"/>
        <charset val="162"/>
      </rPr>
      <t>(18.01.2024)</t>
    </r>
  </si>
  <si>
    <r>
      <t xml:space="preserve">SADECE AÇIKLANAN İŞ ANLAŞMALARINI BAZ ALIRSAK,
ORTALAMA %20 KÂR MARJI İLE ÇALIŞSA, </t>
    </r>
    <r>
      <rPr>
        <b/>
        <sz val="12"/>
        <color theme="1"/>
        <rFont val="Calibri"/>
        <family val="2"/>
        <scheme val="minor"/>
      </rPr>
      <t xml:space="preserve"> 2024 YIL SONUNDA 2.75 MİLYAR TL TAHMİNİ KÂR </t>
    </r>
    <r>
      <rPr>
        <sz val="12"/>
        <color theme="1"/>
        <rFont val="Calibri"/>
        <family val="2"/>
        <scheme val="minor"/>
      </rPr>
      <t>ELDE EDER. (Bu rakam, yeni alınacak işlere göre artabilir veya başka nedenlere dayalı azalabilir)</t>
    </r>
  </si>
  <si>
    <r>
      <rPr>
        <b/>
        <u/>
        <sz val="12"/>
        <color rgb="FFFF0000"/>
        <rFont val="Calibri"/>
        <family val="2"/>
        <charset val="162"/>
        <scheme val="minor"/>
      </rPr>
      <t>NOT:</t>
    </r>
    <r>
      <rPr>
        <sz val="12"/>
        <color theme="1"/>
        <rFont val="Calibri"/>
        <family val="2"/>
        <charset val="162"/>
        <scheme val="minor"/>
      </rPr>
      <t>ŞİRKET, 2024 SONUNDA TAHMİN EDİLEN KÂRI ELDE EDERSE 155 LİRA ŞİRKETİN ADİL DEĞERİ OLUR. HİSSE FİYATI PİYASADA ADİL DEĞERİNİN ÜZERİNDE VEYA ALTINDA İŞLEM GÖREBİLİR.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</si>
</sst>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₺&quot;#,##0.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  <charset val="162"/>
    </font>
    <font>
      <sz val="12"/>
      <color theme="0"/>
      <name val="Arial Black"/>
      <family val="2"/>
      <charset val="162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u/>
      <sz val="12"/>
      <color rgb="FFFF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6"/>
      <color theme="1"/>
      <name val="Arial Black"/>
      <family val="2"/>
      <charset val="162"/>
    </font>
    <font>
      <sz val="18"/>
      <color theme="0"/>
      <name val="Arial Black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7" xfId="0" applyFont="1" applyFill="1" applyBorder="1"/>
    <xf numFmtId="0" fontId="7" fillId="4" borderId="1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9" fontId="6" fillId="2" borderId="8" xfId="0" applyNumberFormat="1" applyFont="1" applyFill="1" applyBorder="1" applyAlignment="1">
      <alignment horizontal="center" vertical="center"/>
    </xf>
    <xf numFmtId="9" fontId="6" fillId="2" borderId="9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64" fontId="7" fillId="4" borderId="17" xfId="0" applyNumberFormat="1" applyFont="1" applyFill="1" applyBorder="1" applyAlignment="1">
      <alignment horizontal="center" vertical="center"/>
    </xf>
    <xf numFmtId="164" fontId="7" fillId="4" borderId="18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7" fillId="4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6"/>
  <sheetViews>
    <sheetView tabSelected="1" zoomScaleNormal="100" workbookViewId="0">
      <selection activeCell="C5" sqref="C5:E5"/>
    </sheetView>
  </sheetViews>
  <sheetFormatPr defaultRowHeight="14.4" x14ac:dyDescent="0.3"/>
  <cols>
    <col min="2" max="2" width="45.21875" customWidth="1"/>
    <col min="3" max="3" width="19.21875" customWidth="1"/>
    <col min="5" max="5" width="17.5546875" customWidth="1"/>
  </cols>
  <sheetData>
    <row r="3" spans="2:5" ht="20.399999999999999" customHeight="1" x14ac:dyDescent="0.3">
      <c r="B3" s="27" t="s">
        <v>9</v>
      </c>
      <c r="C3" s="27"/>
      <c r="D3" s="27"/>
      <c r="E3" s="27"/>
    </row>
    <row r="4" spans="2:5" ht="67.2" customHeight="1" thickBot="1" x14ac:dyDescent="0.35">
      <c r="B4" s="28" t="s">
        <v>11</v>
      </c>
      <c r="C4" s="29"/>
      <c r="D4" s="29"/>
      <c r="E4" s="30"/>
    </row>
    <row r="5" spans="2:5" ht="37.799999999999997" customHeight="1" x14ac:dyDescent="0.3">
      <c r="B5" s="1" t="s">
        <v>10</v>
      </c>
      <c r="C5" s="31">
        <v>72</v>
      </c>
      <c r="D5" s="31"/>
      <c r="E5" s="32"/>
    </row>
    <row r="6" spans="2:5" ht="19.95" customHeight="1" x14ac:dyDescent="0.3">
      <c r="B6" s="7" t="s">
        <v>3</v>
      </c>
      <c r="C6" s="19">
        <v>22.51</v>
      </c>
      <c r="D6" s="19"/>
      <c r="E6" s="20"/>
    </row>
    <row r="7" spans="2:5" ht="19.95" customHeight="1" x14ac:dyDescent="0.3">
      <c r="B7" s="7" t="s">
        <v>0</v>
      </c>
      <c r="C7" s="18">
        <v>460000000</v>
      </c>
      <c r="D7" s="18"/>
      <c r="E7" s="33"/>
    </row>
    <row r="8" spans="2:5" ht="19.95" customHeight="1" x14ac:dyDescent="0.3">
      <c r="B8" s="7" t="s">
        <v>2</v>
      </c>
      <c r="C8" s="18">
        <v>2750000000</v>
      </c>
      <c r="D8" s="19"/>
      <c r="E8" s="20"/>
    </row>
    <row r="9" spans="2:5" ht="19.95" customHeight="1" thickBot="1" x14ac:dyDescent="0.4">
      <c r="B9" s="4" t="s">
        <v>7</v>
      </c>
      <c r="C9" s="25">
        <v>26</v>
      </c>
      <c r="D9" s="25"/>
      <c r="E9" s="26"/>
    </row>
    <row r="10" spans="2:5" ht="19.95" customHeight="1" x14ac:dyDescent="0.3">
      <c r="B10" s="15" t="s">
        <v>8</v>
      </c>
      <c r="C10" s="16"/>
      <c r="D10" s="16"/>
      <c r="E10" s="17"/>
    </row>
    <row r="11" spans="2:5" ht="19.95" customHeight="1" x14ac:dyDescent="0.3">
      <c r="B11" s="5" t="s">
        <v>1</v>
      </c>
      <c r="C11" s="21">
        <f>C8/C7</f>
        <v>5.9782608695652177</v>
      </c>
      <c r="D11" s="21"/>
      <c r="E11" s="22"/>
    </row>
    <row r="12" spans="2:5" ht="19.95" customHeight="1" x14ac:dyDescent="0.3">
      <c r="B12" s="6" t="s">
        <v>4</v>
      </c>
      <c r="C12" s="23">
        <f>C5/C11</f>
        <v>12.043636363636363</v>
      </c>
      <c r="D12" s="23"/>
      <c r="E12" s="24"/>
    </row>
    <row r="13" spans="2:5" ht="28.8" customHeight="1" x14ac:dyDescent="0.3">
      <c r="B13" s="2" t="s">
        <v>5</v>
      </c>
      <c r="C13" s="11">
        <f>(C5/C12)*C9</f>
        <v>155.43478260869566</v>
      </c>
      <c r="D13" s="11"/>
      <c r="E13" s="12"/>
    </row>
    <row r="14" spans="2:5" ht="36.6" customHeight="1" thickBot="1" x14ac:dyDescent="0.35">
      <c r="B14" s="3" t="s">
        <v>6</v>
      </c>
      <c r="C14" s="13">
        <f>(C13-C5)/C5</f>
        <v>1.1588164251207731</v>
      </c>
      <c r="D14" s="13"/>
      <c r="E14" s="14"/>
    </row>
    <row r="15" spans="2:5" ht="10.8" customHeight="1" thickBot="1" x14ac:dyDescent="0.35"/>
    <row r="16" spans="2:5" ht="71.400000000000006" customHeight="1" thickBot="1" x14ac:dyDescent="0.35">
      <c r="B16" s="8" t="s">
        <v>12</v>
      </c>
      <c r="C16" s="9"/>
      <c r="D16" s="9"/>
      <c r="E16" s="10"/>
    </row>
  </sheetData>
  <mergeCells count="13">
    <mergeCell ref="B3:E3"/>
    <mergeCell ref="B4:E4"/>
    <mergeCell ref="C5:E5"/>
    <mergeCell ref="C6:E6"/>
    <mergeCell ref="C7:E7"/>
    <mergeCell ref="B16:E16"/>
    <mergeCell ref="C13:E13"/>
    <mergeCell ref="C14:E14"/>
    <mergeCell ref="B10:E10"/>
    <mergeCell ref="C8:E8"/>
    <mergeCell ref="C11:E11"/>
    <mergeCell ref="C12:E12"/>
    <mergeCell ref="C9:E9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2024-01-20T14:16:54Z</dcterms:modified>
</cp:coreProperties>
</file>