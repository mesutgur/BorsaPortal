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/>
  </bookViews>
  <sheets>
    <sheet name="4.ÇEYREK" sheetId="1" r:id="rId1"/>
    <sheet name="Sayfa2" sheetId="2" r:id="rId2"/>
    <sheet name="Sayfa3" sheetId="3" r:id="rId3"/>
  </sheets>
  <definedNames>
    <definedName name="_xlnm.Print_Area" localSheetId="0">'4.ÇEYREK'!$A$1:$E$36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1" i="1" l="1"/>
  <c r="C7" i="1"/>
  <c r="C9" i="1"/>
  <c r="D34" i="1" l="1"/>
  <c r="E11" i="1"/>
  <c r="E9" i="1"/>
  <c r="E7" i="1"/>
  <c r="E12" i="1" l="1"/>
  <c r="D15" i="1" s="1"/>
  <c r="C12" i="1" l="1"/>
  <c r="D14" i="1" s="1"/>
  <c r="D20" i="1" l="1"/>
  <c r="D21" i="1" s="1"/>
  <c r="D22" i="1" s="1"/>
  <c r="D26" i="1"/>
  <c r="D23" i="1"/>
  <c r="D24" i="1" l="1"/>
  <c r="D25" i="1" s="1"/>
  <c r="D27" i="1" s="1"/>
  <c r="D28" i="1" l="1"/>
</calcChain>
</file>

<file path=xl/sharedStrings.xml><?xml version="1.0" encoding="utf-8"?>
<sst xmlns="http://schemas.openxmlformats.org/spreadsheetml/2006/main" count="43" uniqueCount="43">
  <si>
    <t>HİSSE ADI</t>
  </si>
  <si>
    <t>HİSSE FİYATI</t>
  </si>
  <si>
    <t>ÖDENMİŞ SERMAYE</t>
  </si>
  <si>
    <t>HİSSENİN PRİM POTANSİYELİ</t>
  </si>
  <si>
    <t>POTANSİYEL PİYASA DEĞERİ</t>
  </si>
  <si>
    <t>2019 TEMETTÜ ORANI</t>
  </si>
  <si>
    <t>2020 TEMETTÜ ORANI</t>
  </si>
  <si>
    <t>2021 TEMETTÜ ORANI</t>
  </si>
  <si>
    <t>2022 TEMETTÜ ORANI</t>
  </si>
  <si>
    <t>HİSSE F/K ORANI</t>
  </si>
  <si>
    <t>HİSSE PD/DD ORANI</t>
  </si>
  <si>
    <t>YILLIK NET KAR (2022)</t>
  </si>
  <si>
    <t>HİSSENİN BEDELSİZ POTANSİYELİ (%)</t>
  </si>
  <si>
    <t>YILLIK NET KAR (2021)</t>
  </si>
  <si>
    <t>YILLIK NET KAR (2020)</t>
  </si>
  <si>
    <t>YILLIK NET KAR (2019)</t>
  </si>
  <si>
    <t>KAR ARTIŞ ORANI-2020</t>
  </si>
  <si>
    <t>KAR ARTIŞ ORANI-2021</t>
  </si>
  <si>
    <t>KAR ARTIŞ ORANI-2022</t>
  </si>
  <si>
    <t>YIL SONU TAHMİNİ HBK</t>
  </si>
  <si>
    <t>YIL SONU TAHMİNİ FK ORANI</t>
  </si>
  <si>
    <t>1) YIL SONU TAHMİNİ FK'YA GÖRE OLMASI GEREKEN FİYAT</t>
  </si>
  <si>
    <t>2) ÖDENMİŞ SERMAYEYE GÖRE OLMASI GEREKEN FİYAT</t>
  </si>
  <si>
    <t>3) P.P. DEĞERİNE GÖRE OLMASI GEREKEN FİYAT</t>
  </si>
  <si>
    <r>
      <rPr>
        <b/>
        <i/>
        <sz val="18"/>
        <rFont val="Calibri"/>
        <family val="2"/>
        <charset val="162"/>
        <scheme val="minor"/>
      </rPr>
      <t xml:space="preserve">HİSSENİN OLMASI GEREKEN FİYATI ?
</t>
    </r>
    <r>
      <rPr>
        <b/>
        <i/>
        <sz val="14"/>
        <rFont val="Calibri"/>
        <family val="2"/>
        <charset val="162"/>
        <scheme val="minor"/>
      </rPr>
      <t>Hazırlayan: Gani GÜLAYDIN</t>
    </r>
  </si>
  <si>
    <t>ÖZSERMAYE (2019)</t>
  </si>
  <si>
    <t>ÖZSERMAYE (2020)</t>
  </si>
  <si>
    <t>ÖZSERMAYE (2022)</t>
  </si>
  <si>
    <t>ÖZSERMAYE (2021)</t>
  </si>
  <si>
    <t>ÖZSERMAYE ARTIŞ ORANI-2020</t>
  </si>
  <si>
    <t>ÖZSERMAYE ARTIŞ ORANI-2022</t>
  </si>
  <si>
    <t>ÖZSERMAYE ARTIŞ ORANI-2021</t>
  </si>
  <si>
    <t>2023 YIL SONU TAHMİNİ ÖZSERMAYE</t>
  </si>
  <si>
    <t>SON 3 YIL 
ORTALAMA KAR ARTIŞ ORANI</t>
  </si>
  <si>
    <t>SON 3 YIL 
ORTALAMA ÖZSERMAYE ARTIŞ ORANI</t>
  </si>
  <si>
    <t>BİST100 / SEKTÖR GÜNCEL FK ORANI</t>
  </si>
  <si>
    <t>YIL SONU TAHMİNİ ÖZSERMAYE KARLILIĞI</t>
  </si>
  <si>
    <t>https://www.isyatirim.com.tr/tr-tr/analiz/hisse/Sayfalar/default.aspx</t>
  </si>
  <si>
    <t>X</t>
  </si>
  <si>
    <t>2023 YIL SONU TAHMİNİ NET KÂR</t>
  </si>
  <si>
    <r>
      <t xml:space="preserve">3 YÖNTEMİN ORT. GÖRE HEDEF FİYAT
</t>
    </r>
    <r>
      <rPr>
        <b/>
        <sz val="12"/>
        <rFont val="Calibri"/>
        <family val="2"/>
        <charset val="162"/>
        <scheme val="minor"/>
      </rPr>
      <t>(GELECEK YIL SONU BİLANÇO SONRASI BEKLENTİ)</t>
    </r>
  </si>
  <si>
    <r>
      <t>TABLONUN BULDUĞU HEDEF FİYAT;
ŞİRKETİN 2023 YILLIK BİLANÇO SONRASI</t>
    </r>
    <r>
      <rPr>
        <b/>
        <sz val="12"/>
        <color theme="1"/>
        <rFont val="Calibri"/>
        <family val="2"/>
        <charset val="162"/>
        <scheme val="minor"/>
      </rPr>
      <t xml:space="preserve"> (2024 ŞUBAT-MART'TA AÇIKLANIR) </t>
    </r>
    <r>
      <rPr>
        <b/>
        <sz val="14"/>
        <color theme="1"/>
        <rFont val="Calibri"/>
        <family val="2"/>
        <charset val="162"/>
        <scheme val="minor"/>
      </rPr>
      <t xml:space="preserve">
OLMASI GEREKEN FİYATIDIR. 
AMA BU PİYASA ŞARTLARINA GÖRE 4-5 AY ÖNCE DE GERÇEKLEŞEBİLİR, SONRA DA.
TÜM ANALİZLERDE OLDUĞU GİBİ BUDA BİR OLASILIK ÇALIŞMASIDIR.</t>
    </r>
  </si>
  <si>
    <t>GEÇMİŞ YILLARDAKİ KÂR ARTIŞ ORANLARI ORTALAMASINA GÖRE; 2023 İÇİN BİR KÂR TAHMİNİ YAPILARAK HESAPLAMA YAPILMAKTADIR. 
2023 SONUNDAKİ HEDEF FİYATIN GELEBİLMESİ İÇİN; 
ŞİRKETİN, TABLODA HESAPLANAN 2023 SONUNDAKİ TAHMİNİ KÂRA YAKIN
 BİR NET KÂR AÇIKLAMASI GEREKMEKTEDİR. 
AŞIRI DERECEDE TUTARSIZ ÇIKAN SONUÇLARI DİKKATE ALMAYINIZ.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</si>
</sst>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₺&quot;#,##0.00"/>
    <numFmt numFmtId="165" formatCode="0.0%"/>
  </numFmts>
  <fonts count="24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3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4"/>
      <color theme="1" tint="4.9989318521683403E-2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2"/>
      <color theme="1" tint="4.9989318521683403E-2"/>
      <name val="Calibri"/>
      <family val="2"/>
      <charset val="162"/>
      <scheme val="minor"/>
    </font>
    <font>
      <b/>
      <i/>
      <sz val="20"/>
      <name val="Calibri"/>
      <family val="2"/>
      <charset val="162"/>
      <scheme val="minor"/>
    </font>
    <font>
      <b/>
      <i/>
      <sz val="8"/>
      <name val="Calibri"/>
      <family val="2"/>
      <charset val="162"/>
      <scheme val="minor"/>
    </font>
    <font>
      <b/>
      <i/>
      <sz val="18"/>
      <name val="Calibri"/>
      <family val="2"/>
      <charset val="162"/>
      <scheme val="minor"/>
    </font>
    <font>
      <b/>
      <sz val="18"/>
      <name val="Calibri"/>
      <family val="2"/>
      <charset val="162"/>
      <scheme val="minor"/>
    </font>
    <font>
      <b/>
      <sz val="22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i/>
      <sz val="14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u/>
      <sz val="16"/>
      <color theme="10"/>
      <name val="Calibri"/>
      <family val="2"/>
      <charset val="162"/>
      <scheme val="minor"/>
    </font>
    <font>
      <sz val="14"/>
      <color theme="1" tint="4.9989318521683403E-2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6"/>
      <color theme="1" tint="4.9989318521683403E-2"/>
      <name val="Calibri"/>
      <family val="2"/>
      <charset val="162"/>
      <scheme val="minor"/>
    </font>
    <font>
      <b/>
      <i/>
      <sz val="24"/>
      <name val="Calibri"/>
      <family val="2"/>
      <charset val="162"/>
      <scheme val="minor"/>
    </font>
    <font>
      <b/>
      <sz val="20"/>
      <name val="Calibri"/>
      <family val="2"/>
      <charset val="162"/>
      <scheme val="minor"/>
    </font>
    <font>
      <sz val="14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164" fontId="0" fillId="0" borderId="0" xfId="0" applyNumberFormat="1"/>
    <xf numFmtId="0" fontId="3" fillId="0" borderId="0" xfId="1" applyBorder="1"/>
    <xf numFmtId="0" fontId="7" fillId="4" borderId="1" xfId="0" applyFont="1" applyFill="1" applyBorder="1" applyAlignment="1">
      <alignment horizontal="left" vertical="center"/>
    </xf>
    <xf numFmtId="4" fontId="4" fillId="4" borderId="2" xfId="0" applyNumberFormat="1" applyFont="1" applyFill="1" applyBorder="1" applyAlignment="1">
      <alignment horizontal="center" vertical="center"/>
    </xf>
    <xf numFmtId="164" fontId="12" fillId="6" borderId="6" xfId="0" applyNumberFormat="1" applyFont="1" applyFill="1" applyBorder="1" applyAlignment="1">
      <alignment horizontal="center" vertical="center"/>
    </xf>
    <xf numFmtId="10" fontId="12" fillId="6" borderId="8" xfId="0" applyNumberFormat="1" applyFont="1" applyFill="1" applyBorder="1" applyAlignment="1">
      <alignment horizontal="center" vertical="center"/>
    </xf>
    <xf numFmtId="0" fontId="13" fillId="6" borderId="15" xfId="0" applyFont="1" applyFill="1" applyBorder="1"/>
    <xf numFmtId="10" fontId="6" fillId="6" borderId="12" xfId="0" applyNumberFormat="1" applyFont="1" applyFill="1" applyBorder="1" applyAlignment="1">
      <alignment horizontal="center" vertical="center"/>
    </xf>
    <xf numFmtId="0" fontId="13" fillId="6" borderId="1" xfId="0" applyFont="1" applyFill="1" applyBorder="1"/>
    <xf numFmtId="10" fontId="6" fillId="6" borderId="2" xfId="0" applyNumberFormat="1" applyFont="1" applyFill="1" applyBorder="1" applyAlignment="1">
      <alignment horizontal="center" vertical="center"/>
    </xf>
    <xf numFmtId="0" fontId="5" fillId="6" borderId="9" xfId="0" applyFont="1" applyFill="1" applyBorder="1"/>
    <xf numFmtId="0" fontId="5" fillId="6" borderId="24" xfId="0" applyFont="1" applyFill="1" applyBorder="1"/>
    <xf numFmtId="0" fontId="2" fillId="4" borderId="3" xfId="0" applyFont="1" applyFill="1" applyBorder="1" applyAlignment="1">
      <alignment horizontal="center" vertical="center" wrapText="1"/>
    </xf>
    <xf numFmtId="10" fontId="15" fillId="4" borderId="3" xfId="0" applyNumberFormat="1" applyFont="1" applyFill="1" applyBorder="1" applyAlignment="1">
      <alignment horizontal="center" vertical="center"/>
    </xf>
    <xf numFmtId="0" fontId="16" fillId="0" borderId="0" xfId="1" applyFont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/>
    </xf>
    <xf numFmtId="0" fontId="18" fillId="8" borderId="11" xfId="0" applyFont="1" applyFill="1" applyBorder="1" applyAlignment="1">
      <alignment horizontal="center" vertical="center"/>
    </xf>
    <xf numFmtId="3" fontId="18" fillId="2" borderId="3" xfId="0" applyNumberFormat="1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3" fontId="18" fillId="2" borderId="2" xfId="0" applyNumberFormat="1" applyFont="1" applyFill="1" applyBorder="1" applyAlignment="1">
      <alignment horizontal="center" vertical="center"/>
    </xf>
    <xf numFmtId="0" fontId="18" fillId="8" borderId="21" xfId="0" applyFont="1" applyFill="1" applyBorder="1" applyAlignment="1">
      <alignment horizontal="center" vertical="center"/>
    </xf>
    <xf numFmtId="3" fontId="18" fillId="2" borderId="22" xfId="0" applyNumberFormat="1" applyFont="1" applyFill="1" applyBorder="1" applyAlignment="1">
      <alignment horizontal="center" vertical="center"/>
    </xf>
    <xf numFmtId="0" fontId="18" fillId="8" borderId="22" xfId="0" applyFont="1" applyFill="1" applyBorder="1" applyAlignment="1">
      <alignment horizontal="center" vertical="center"/>
    </xf>
    <xf numFmtId="3" fontId="18" fillId="2" borderId="23" xfId="0" applyNumberFormat="1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3" fontId="18" fillId="7" borderId="2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164" fontId="19" fillId="7" borderId="2" xfId="0" applyNumberFormat="1" applyFont="1" applyFill="1" applyBorder="1" applyAlignment="1">
      <alignment horizontal="center" vertical="center"/>
    </xf>
    <xf numFmtId="4" fontId="19" fillId="4" borderId="2" xfId="0" applyNumberFormat="1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/>
    </xf>
    <xf numFmtId="3" fontId="11" fillId="6" borderId="6" xfId="0" applyNumberFormat="1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3" fillId="3" borderId="16" xfId="0" applyFont="1" applyFill="1" applyBorder="1" applyAlignment="1">
      <alignment horizontal="center" vertical="center"/>
    </xf>
    <xf numFmtId="165" fontId="22" fillId="3" borderId="7" xfId="0" applyNumberFormat="1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10" fontId="23" fillId="0" borderId="7" xfId="0" applyNumberFormat="1" applyFont="1" applyBorder="1" applyAlignment="1">
      <alignment horizontal="center" vertical="center"/>
    </xf>
    <xf numFmtId="165" fontId="22" fillId="3" borderId="3" xfId="0" applyNumberFormat="1" applyFont="1" applyFill="1" applyBorder="1" applyAlignment="1">
      <alignment horizontal="center" vertical="center"/>
    </xf>
    <xf numFmtId="10" fontId="23" fillId="0" borderId="2" xfId="0" applyNumberFormat="1" applyFont="1" applyBorder="1" applyAlignment="1">
      <alignment horizontal="center" vertical="center"/>
    </xf>
    <xf numFmtId="4" fontId="18" fillId="2" borderId="13" xfId="0" applyNumberFormat="1" applyFont="1" applyFill="1" applyBorder="1" applyAlignment="1">
      <alignment horizontal="center" vertical="center"/>
    </xf>
    <xf numFmtId="4" fontId="18" fillId="2" borderId="14" xfId="0" applyNumberFormat="1" applyFont="1" applyFill="1" applyBorder="1" applyAlignment="1">
      <alignment horizontal="center" vertical="center"/>
    </xf>
    <xf numFmtId="4" fontId="18" fillId="2" borderId="20" xfId="0" applyNumberFormat="1" applyFont="1" applyFill="1" applyBorder="1" applyAlignment="1">
      <alignment horizontal="center" vertical="center"/>
    </xf>
    <xf numFmtId="3" fontId="18" fillId="2" borderId="13" xfId="0" applyNumberFormat="1" applyFont="1" applyFill="1" applyBorder="1" applyAlignment="1">
      <alignment horizontal="center" vertical="center"/>
    </xf>
    <xf numFmtId="3" fontId="18" fillId="2" borderId="14" xfId="0" applyNumberFormat="1" applyFont="1" applyFill="1" applyBorder="1" applyAlignment="1">
      <alignment horizontal="center" vertical="center"/>
    </xf>
    <xf numFmtId="3" fontId="18" fillId="2" borderId="20" xfId="0" applyNumberFormat="1" applyFont="1" applyFill="1" applyBorder="1" applyAlignment="1">
      <alignment horizontal="center" vertical="center"/>
    </xf>
    <xf numFmtId="0" fontId="20" fillId="9" borderId="17" xfId="0" applyFont="1" applyFill="1" applyBorder="1" applyAlignment="1">
      <alignment horizontal="center" vertical="center" wrapText="1"/>
    </xf>
    <xf numFmtId="0" fontId="20" fillId="9" borderId="18" xfId="0" applyFont="1" applyFill="1" applyBorder="1" applyAlignment="1">
      <alignment horizontal="center" vertical="center" wrapText="1"/>
    </xf>
    <xf numFmtId="0" fontId="20" fillId="9" borderId="1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3" borderId="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15" fillId="10" borderId="25" xfId="0" applyFont="1" applyFill="1" applyBorder="1" applyAlignment="1">
      <alignment horizontal="center" vertical="center" wrapText="1"/>
    </xf>
    <xf numFmtId="0" fontId="15" fillId="10" borderId="26" xfId="0" applyFont="1" applyFill="1" applyBorder="1" applyAlignment="1">
      <alignment horizontal="center" vertical="center" wrapText="1"/>
    </xf>
    <xf numFmtId="0" fontId="15" fillId="10" borderId="8" xfId="0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0" fontId="15" fillId="11" borderId="26" xfId="0" applyFont="1" applyFill="1" applyBorder="1" applyAlignment="1">
      <alignment horizontal="center" vertical="center"/>
    </xf>
    <xf numFmtId="0" fontId="15" fillId="11" borderId="8" xfId="0" applyFont="1" applyFill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colors>
    <mruColors>
      <color rgb="FFCCCC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syatirim.com.tr/tr-tr/analiz/hisse/Sayfalar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6"/>
  <sheetViews>
    <sheetView tabSelected="1" zoomScale="70" zoomScaleNormal="70" workbookViewId="0">
      <selection activeCell="C2" sqref="C2:E2"/>
    </sheetView>
  </sheetViews>
  <sheetFormatPr defaultRowHeight="15" x14ac:dyDescent="0.25"/>
  <cols>
    <col min="1" max="1" width="4.140625" customWidth="1"/>
    <col min="2" max="2" width="31.28515625" customWidth="1"/>
    <col min="3" max="3" width="66.5703125" customWidth="1"/>
    <col min="4" max="4" width="35.42578125" customWidth="1"/>
    <col min="5" max="5" width="21.42578125" customWidth="1"/>
    <col min="6" max="6" width="106.85546875" customWidth="1"/>
    <col min="7" max="7" width="18.7109375" bestFit="1" customWidth="1"/>
    <col min="8" max="8" width="12" customWidth="1"/>
  </cols>
  <sheetData>
    <row r="1" spans="2:8" ht="8.25" customHeight="1" thickBot="1" x14ac:dyDescent="0.3"/>
    <row r="2" spans="2:8" ht="30" customHeight="1" x14ac:dyDescent="0.25">
      <c r="B2" s="16" t="s">
        <v>0</v>
      </c>
      <c r="C2" s="53" t="s">
        <v>38</v>
      </c>
      <c r="D2" s="54"/>
      <c r="E2" s="55"/>
    </row>
    <row r="3" spans="2:8" ht="28.5" customHeight="1" x14ac:dyDescent="0.25">
      <c r="B3" s="28" t="s">
        <v>1</v>
      </c>
      <c r="C3" s="47">
        <v>0</v>
      </c>
      <c r="D3" s="48"/>
      <c r="E3" s="49"/>
    </row>
    <row r="4" spans="2:8" ht="18.75" customHeight="1" x14ac:dyDescent="0.25">
      <c r="B4" s="28" t="s">
        <v>2</v>
      </c>
      <c r="C4" s="50">
        <v>0</v>
      </c>
      <c r="D4" s="51"/>
      <c r="E4" s="52"/>
    </row>
    <row r="5" spans="2:8" ht="21" customHeight="1" x14ac:dyDescent="0.25">
      <c r="B5" s="20" t="s">
        <v>15</v>
      </c>
      <c r="C5" s="21">
        <v>0</v>
      </c>
      <c r="D5" s="22" t="s">
        <v>25</v>
      </c>
      <c r="E5" s="23">
        <v>0</v>
      </c>
    </row>
    <row r="6" spans="2:8" ht="21" customHeight="1" x14ac:dyDescent="0.25">
      <c r="B6" s="20" t="s">
        <v>14</v>
      </c>
      <c r="C6" s="21">
        <v>0</v>
      </c>
      <c r="D6" s="22" t="s">
        <v>26</v>
      </c>
      <c r="E6" s="23">
        <v>0</v>
      </c>
    </row>
    <row r="7" spans="2:8" ht="20.100000000000001" hidden="1" customHeight="1" x14ac:dyDescent="0.25">
      <c r="B7" s="39" t="s">
        <v>16</v>
      </c>
      <c r="C7" s="45" t="e">
        <f>(C6-C5)/(ABS(C5))</f>
        <v>#DIV/0!</v>
      </c>
      <c r="D7" s="40" t="s">
        <v>29</v>
      </c>
      <c r="E7" s="46" t="e">
        <f>(E6-E5)/E5</f>
        <v>#DIV/0!</v>
      </c>
    </row>
    <row r="8" spans="2:8" ht="21" customHeight="1" x14ac:dyDescent="0.25">
      <c r="B8" s="20" t="s">
        <v>13</v>
      </c>
      <c r="C8" s="21">
        <v>0</v>
      </c>
      <c r="D8" s="22" t="s">
        <v>28</v>
      </c>
      <c r="E8" s="23">
        <v>0</v>
      </c>
    </row>
    <row r="9" spans="2:8" ht="20.100000000000001" hidden="1" customHeight="1" x14ac:dyDescent="0.25">
      <c r="B9" s="38" t="s">
        <v>17</v>
      </c>
      <c r="C9" s="45" t="e">
        <f>(C8-C6)/(ABS(C6))</f>
        <v>#DIV/0!</v>
      </c>
      <c r="D9" s="40" t="s">
        <v>31</v>
      </c>
      <c r="E9" s="46" t="e">
        <f>(E8-E6)/E6</f>
        <v>#DIV/0!</v>
      </c>
    </row>
    <row r="10" spans="2:8" ht="21" customHeight="1" thickBot="1" x14ac:dyDescent="0.3">
      <c r="B10" s="24" t="s">
        <v>11</v>
      </c>
      <c r="C10" s="25">
        <v>0</v>
      </c>
      <c r="D10" s="26" t="s">
        <v>27</v>
      </c>
      <c r="E10" s="27">
        <v>0</v>
      </c>
    </row>
    <row r="11" spans="2:8" ht="20.100000000000001" hidden="1" customHeight="1" x14ac:dyDescent="0.25">
      <c r="B11" s="41" t="s">
        <v>18</v>
      </c>
      <c r="C11" s="42" t="e">
        <f>(C10-C8)/(ABS(C8))</f>
        <v>#DIV/0!</v>
      </c>
      <c r="D11" s="43" t="s">
        <v>30</v>
      </c>
      <c r="E11" s="44" t="e">
        <f>(E10-E8)/E8</f>
        <v>#DIV/0!</v>
      </c>
    </row>
    <row r="12" spans="2:8" ht="52.5" hidden="1" customHeight="1" x14ac:dyDescent="0.25">
      <c r="B12" s="13" t="s">
        <v>33</v>
      </c>
      <c r="C12" s="14" t="e">
        <f>(C7+C9+C11)/3</f>
        <v>#DIV/0!</v>
      </c>
      <c r="D12" s="13" t="s">
        <v>34</v>
      </c>
      <c r="E12" s="14" t="e">
        <f>(E7+E9+E11)/3</f>
        <v>#DIV/0!</v>
      </c>
    </row>
    <row r="13" spans="2:8" ht="2.25" customHeight="1" x14ac:dyDescent="0.25">
      <c r="B13" s="59"/>
      <c r="C13" s="59"/>
      <c r="D13" s="59"/>
      <c r="E13" s="59"/>
    </row>
    <row r="14" spans="2:8" ht="24" customHeight="1" x14ac:dyDescent="0.25">
      <c r="C14" s="29" t="s">
        <v>39</v>
      </c>
      <c r="D14" s="30" t="e">
        <f>(C10*C12)+C10</f>
        <v>#DIV/0!</v>
      </c>
      <c r="F14" s="56"/>
      <c r="G14" s="56"/>
      <c r="H14" s="56"/>
    </row>
    <row r="15" spans="2:8" ht="24" customHeight="1" x14ac:dyDescent="0.25">
      <c r="C15" s="29" t="s">
        <v>32</v>
      </c>
      <c r="D15" s="30" t="e">
        <f>(E10*E12)+E10</f>
        <v>#DIV/0!</v>
      </c>
      <c r="F15" s="15" t="s">
        <v>37</v>
      </c>
    </row>
    <row r="16" spans="2:8" ht="20.100000000000001" customHeight="1" thickBot="1" x14ac:dyDescent="0.3">
      <c r="C16" s="31" t="s">
        <v>9</v>
      </c>
      <c r="D16" s="32">
        <v>0</v>
      </c>
      <c r="F16" s="2"/>
      <c r="H16" s="1"/>
    </row>
    <row r="17" spans="3:8" ht="20.100000000000001" customHeight="1" x14ac:dyDescent="0.25">
      <c r="C17" s="31" t="s">
        <v>10</v>
      </c>
      <c r="D17" s="32">
        <v>0</v>
      </c>
      <c r="F17" s="65" t="s">
        <v>42</v>
      </c>
      <c r="H17" s="1"/>
    </row>
    <row r="18" spans="3:8" ht="20.100000000000001" customHeight="1" thickBot="1" x14ac:dyDescent="0.3">
      <c r="C18" s="31" t="s">
        <v>35</v>
      </c>
      <c r="D18" s="32">
        <v>0</v>
      </c>
      <c r="F18" s="66"/>
      <c r="G18" s="1"/>
    </row>
    <row r="19" spans="3:8" ht="45" customHeight="1" thickBot="1" x14ac:dyDescent="0.3">
      <c r="C19" s="60" t="s">
        <v>24</v>
      </c>
      <c r="D19" s="61"/>
      <c r="F19" s="66"/>
    </row>
    <row r="20" spans="3:8" ht="21.75" hidden="1" customHeight="1" x14ac:dyDescent="0.25">
      <c r="C20" s="3" t="s">
        <v>19</v>
      </c>
      <c r="D20" s="4" t="e">
        <f>D14/C4</f>
        <v>#DIV/0!</v>
      </c>
      <c r="F20" s="66"/>
    </row>
    <row r="21" spans="3:8" ht="21.95" hidden="1" customHeight="1" x14ac:dyDescent="0.25">
      <c r="C21" s="3" t="s">
        <v>20</v>
      </c>
      <c r="D21" s="4" t="e">
        <f>C3/D20</f>
        <v>#DIV/0!</v>
      </c>
      <c r="F21" s="66"/>
    </row>
    <row r="22" spans="3:8" ht="24.95" customHeight="1" x14ac:dyDescent="0.25">
      <c r="C22" s="17" t="s">
        <v>21</v>
      </c>
      <c r="D22" s="33" t="e">
        <f>(C3/D21)*D18</f>
        <v>#DIV/0!</v>
      </c>
      <c r="F22" s="66"/>
    </row>
    <row r="23" spans="3:8" ht="24.95" customHeight="1" thickBot="1" x14ac:dyDescent="0.3">
      <c r="C23" s="17" t="s">
        <v>22</v>
      </c>
      <c r="D23" s="33" t="e">
        <f>(D14/C4)*10</f>
        <v>#DIV/0!</v>
      </c>
      <c r="F23" s="67"/>
    </row>
    <row r="24" spans="3:8" ht="24.95" hidden="1" customHeight="1" x14ac:dyDescent="0.25">
      <c r="C24" s="18" t="s">
        <v>4</v>
      </c>
      <c r="D24" s="34" t="e">
        <f>(D14*7)+(0.5*D15)</f>
        <v>#DIV/0!</v>
      </c>
    </row>
    <row r="25" spans="3:8" ht="24.95" customHeight="1" thickBot="1" x14ac:dyDescent="0.3">
      <c r="C25" s="17" t="s">
        <v>23</v>
      </c>
      <c r="D25" s="33" t="e">
        <f>D24/C4</f>
        <v>#DIV/0!</v>
      </c>
    </row>
    <row r="26" spans="3:8" ht="24.95" hidden="1" customHeight="1" thickBot="1" x14ac:dyDescent="0.3">
      <c r="C26" s="19" t="s">
        <v>36</v>
      </c>
      <c r="D26" s="34" t="e">
        <f>D14/D15</f>
        <v>#DIV/0!</v>
      </c>
    </row>
    <row r="27" spans="3:8" ht="52.5" customHeight="1" thickBot="1" x14ac:dyDescent="0.3">
      <c r="C27" s="35" t="s">
        <v>40</v>
      </c>
      <c r="D27" s="5" t="e">
        <f>(D22+D23+D25)/3</f>
        <v>#DIV/0!</v>
      </c>
      <c r="F27" s="62" t="s">
        <v>41</v>
      </c>
    </row>
    <row r="28" spans="3:8" ht="34.5" customHeight="1" thickBot="1" x14ac:dyDescent="0.3">
      <c r="C28" s="35" t="s">
        <v>3</v>
      </c>
      <c r="D28" s="6" t="e">
        <f>(D27-C3)/C3</f>
        <v>#DIV/0!</v>
      </c>
      <c r="F28" s="63"/>
    </row>
    <row r="29" spans="3:8" ht="16.5" hidden="1" customHeight="1" thickBot="1" x14ac:dyDescent="0.3">
      <c r="C29" s="7" t="s">
        <v>5</v>
      </c>
      <c r="D29" s="8">
        <v>8.77E-2</v>
      </c>
      <c r="F29" s="63"/>
    </row>
    <row r="30" spans="3:8" ht="16.5" hidden="1" customHeight="1" thickBot="1" x14ac:dyDescent="0.3">
      <c r="C30" s="9" t="s">
        <v>6</v>
      </c>
      <c r="D30" s="10">
        <v>8.9200000000000002E-2</v>
      </c>
      <c r="F30" s="63"/>
    </row>
    <row r="31" spans="3:8" ht="16.5" hidden="1" customHeight="1" thickBot="1" x14ac:dyDescent="0.3">
      <c r="C31" s="9" t="s">
        <v>7</v>
      </c>
      <c r="D31" s="10">
        <v>5.1200000000000002E-2</v>
      </c>
      <c r="F31" s="63"/>
    </row>
    <row r="32" spans="3:8" ht="16.5" hidden="1" customHeight="1" thickBot="1" x14ac:dyDescent="0.3">
      <c r="C32" s="9" t="s">
        <v>8</v>
      </c>
      <c r="D32" s="10">
        <v>5.4800000000000001E-2</v>
      </c>
      <c r="F32" s="63"/>
    </row>
    <row r="33" spans="2:6" ht="15.75" hidden="1" customHeight="1" thickBot="1" x14ac:dyDescent="0.3">
      <c r="C33" s="11"/>
      <c r="D33" s="12"/>
      <c r="F33" s="63"/>
    </row>
    <row r="34" spans="2:6" ht="34.5" customHeight="1" thickBot="1" x14ac:dyDescent="0.3">
      <c r="C34" s="36" t="s">
        <v>12</v>
      </c>
      <c r="D34" s="37" t="e">
        <f>(E10-C4)/C4*100</f>
        <v>#DIV/0!</v>
      </c>
      <c r="F34" s="64"/>
    </row>
    <row r="36" spans="2:6" ht="106.5" customHeight="1" x14ac:dyDescent="0.25">
      <c r="B36" s="57"/>
      <c r="C36" s="58"/>
      <c r="D36" s="58"/>
    </row>
  </sheetData>
  <mergeCells count="9">
    <mergeCell ref="C3:E3"/>
    <mergeCell ref="C4:E4"/>
    <mergeCell ref="C2:E2"/>
    <mergeCell ref="F14:H14"/>
    <mergeCell ref="B36:D36"/>
    <mergeCell ref="B13:E13"/>
    <mergeCell ref="C19:D19"/>
    <mergeCell ref="F17:F23"/>
    <mergeCell ref="F27:F34"/>
  </mergeCells>
  <hyperlinks>
    <hyperlink ref="F15" r:id="rId1"/>
  </hyperlinks>
  <pageMargins left="0.39370078740157483" right="0.39370078740157483" top="0.74803149606299213" bottom="0.74803149606299213" header="0.31496062992125984" footer="0.31496062992125984"/>
  <pageSetup paperSize="9" scale="54" orientation="portrait" horizontalDpi="300" verticalDpi="300" r:id="rId2"/>
  <colBreaks count="1" manualBreakCount="1">
    <brk id="5" max="3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4.ÇEYREK</vt:lpstr>
      <vt:lpstr>Sayfa2</vt:lpstr>
      <vt:lpstr>Sayfa3</vt:lpstr>
      <vt:lpstr>'4.ÇEYREK'!Yazdırma_Alanı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2021-09-13T12:10:55Z</cp:lastPrinted>
  <dcterms:created xsi:type="dcterms:W3CDTF">2021-09-08T05:43:05Z</dcterms:created>
  <dcterms:modified xsi:type="dcterms:W3CDTF">2023-01-05T11:52:50Z</dcterms:modified>
</cp:coreProperties>
</file>